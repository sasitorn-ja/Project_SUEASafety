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cb4d0447a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39ff3baba84e4c24"/>
    <x:sheet xmlns:r="http://schemas.openxmlformats.org/officeDocument/2006/relationships" name="สรุป" sheetId="2" r:id="R6a8dd4a55011476b"/>
  </x:sheets>
</x:workbook>
</file>

<file path=xl/sharedStrings.xml><?xml version="1.0" encoding="utf-8"?>
<x:sst xmlns:x="http://schemas.openxmlformats.org/spreadsheetml/2006/main">
  <x:si>
    <x:t xml:space="preserve">Route (หน้า)</x:t>
  </x:si>
  <x:si>
    <x:t xml:space="preserve">ไฟล์</x:t>
  </x:si>
  <x:si>
    <x:t xml:space="preserve">ปุ่ม/การทำงาน</x:t>
  </x:si>
  <x:si>
    <x:t xml:space="preserve">สถานะ</x:t>
  </x:si>
  <x:si>
    <x:t xml:space="preserve">สถานะ (ไทย)</x:t>
  </x:si>
  <x:si>
    <x:t xml:space="preserve">API endpoint</x:t>
  </x:si>
  <x:si>
    <x:t xml:space="preserve">หมายเหตุ</x:t>
  </x:si>
  <x:si>
    <x:t xml:space="preserve">/</x:t>
  </x:si>
  <x:si>
    <x:t xml:space="preserve">src/app/page.tsx</x:t>
  </x:si>
  <x:si>
    <x:t xml:space="preserve">Stats / points / level / awareness display</x:t>
  </x:si>
  <x:si>
    <x:t xml:space="preserve">CONNECTED</x:t>
  </x:si>
  <x:si>
    <x:t xml:space="preserve">เชื่อม API แล้ว</x:t>
  </x:si>
  <x:si>
    <x:t xml:space="preserve">GET /api/safety-culture/points/me ฯลฯ</x:t>
  </x:si>
  <x:si>
    <x:t xml:space="preserve">ดึงข้อมูลจริงผ่าน provider (useAppState)</x:t>
  </x:si>
  <x:si>
    <x:t xml:space="preserve">Level titles (Safety Rookie...)</x:t>
  </x:si>
  <x:si>
    <x:t xml:space="preserve">MOCK</x:t>
  </x:si>
  <x:si>
    <x:t xml:space="preserve">ข้อมูล mock/ฮาร์ดโค้ด</x:t>
  </x:si>
  <x:si>
    <x:t xml:space="preserve">-</x:t>
  </x:si>
  <x:si>
    <x:t xml:space="preserve">LEVEL_TITLES ฮาร์ดโค้ด (แค่ป้ายระดับ, เลขเลเวลคิดจาก XP จริง)</x:t>
  </x:si>
  <x:si>
    <x:t xml:space="preserve">Nav cards / Links</x:t>
  </x:si>
  <x:si>
    <x:t xml:space="preserve">LOCAL-ONLY</x:t>
  </x:si>
  <x:si>
    <x:t xml:space="preserve">ยังไม่เชื่อม (local เท่านั้น)</x:t>
  </x:si>
  <x:si>
    <x:t xml:space="preserve">เป็นลิงก์เปลี่ยนหน้าฝั่ง client เท่านั้น</x:t>
  </x:si>
  <x:si>
    <x:t xml:space="preserve">/login</x:t>
  </x:si>
  <x:si>
    <x:t xml:space="preserve">Login.tsx</x:t>
  </x:si>
  <x:si>
    <x:t xml:space="preserve">Login button</x:t>
  </x:si>
  <x:si>
    <x:t xml:space="preserve">GET /api/auth/login</x:t>
  </x:si>
  <x:si>
    <x:t xml:space="preserve">redirect ไป RMC SSO</x:t>
  </x:si>
  <x:si>
    <x:t xml:space="preserve">/dashboard</x:t>
  </x:si>
  <x:si>
    <x:t xml:space="preserve">DashboardSafetyEffort.tsx</x:t>
  </x:si>
  <x:si>
    <x:t xml:space="preserve">Summary cards</x:t>
  </x:si>
  <x:si>
    <x:t xml:space="preserve">GET /api/safety-effort/reports/summary</x:t>
  </x:si>
  <x:si>
    <x:t xml:space="preserve">ข้อมูลจริง</x:t>
  </x:si>
  <x:si>
    <x:t xml:space="preserve">Chart 1 (ตามประเภทสถานที่)</x:t>
  </x:si>
  <x:si>
    <x:t xml:space="preserve">GET /api/safety-effort/reports/by-location</x:t>
  </x:si>
  <x:si>
    <x:t xml:space="preserve">ข้อมูลจริง (มี fallback baseline ถ้าว่าง)</x:t>
  </x:si>
  <x:si>
    <x:t xml:space="preserve">Chart 2/3/4 (safe-unsafe, %แก้ไข, safeRate ราย BU)</x:t>
  </x:si>
  <x:si>
    <x:t xml:space="preserve">BASELINE_CHART2/3/4 เป็นข้อมูลตัวอย่าง มี TODO(DB) บรรทัด 232 — ยังไม่มี endpoint สรุป</x:t>
  </x:si>
  <x:si>
    <x:t xml:space="preserve">/dashboard-safety-effort</x:t>
  </x:si>
  <x:si>
    <x:t xml:space="preserve">page.tsx</x:t>
  </x:si>
  <x:si>
    <x:t xml:space="preserve">(redirect)</x:t>
  </x:si>
  <x:si>
    <x:t xml:space="preserve">redirect ไป /dashboard</x:t>
  </x:si>
  <x:si>
    <x:t xml:space="preserve">/activity</x:t>
  </x:si>
  <x:si>
    <x:t xml:space="preserve">Activity.tsx</x:t>
  </x:si>
  <x:si>
    <x:t xml:space="preserve">เลือกกิจกรรม / ถัดไป</x:t>
  </x:si>
  <x:si>
    <x:t xml:space="preserve">ส่งค่าผ่าน navigation state (บันทึกจริงตอนจบที่ summary)</x:t>
  </x:si>
  <x:si>
    <x:t xml:space="preserve">เพิ่มกิจกรรมเอง (custom)</x:t>
  </x:si>
  <x:si>
    <x:t xml:space="preserve">setCustomActivities เป็น state เท่านั้น ไม่บันทึกลงเซิร์ฟเวอร์; BASE_ACTIVITIES ฮาร์ดโค้ด</x:t>
  </x:si>
  <x:si>
    <x:t xml:space="preserve">/category</x:t>
  </x:si>
  <x:si>
    <x:t xml:space="preserve">Category.tsx</x:t>
  </x:si>
  <x:si>
    <x:t xml:space="preserve">รายการประวัติ</x:t>
  </x:si>
  <x:si>
    <x:t xml:space="preserve">GET /api/safety-effort/submissions/me</x:t>
  </x:si>
  <x:si>
    <x:t xml:space="preserve">ปุ่มเริ่ม</x:t>
  </x:si>
  <x:si>
    <x:t xml:space="preserve">navigate ไป /activity</x:t>
  </x:si>
  <x:si>
    <x:t xml:space="preserve">/checkin</x:t>
  </x:si>
  <x:si>
    <x:t xml:space="preserve">Checkin.tsx</x:t>
  </x:si>
  <x:si>
    <x:t xml:space="preserve">แผนที่ / สถานที่ใกล้เคียง</x:t>
  </x:si>
  <x:si>
    <x:t xml:space="preserve">GET /api/locations/map</x:t>
  </x:si>
  <x:si>
    <x:t xml:space="preserve">เพิ่มสถานที่ใหม่</x:t>
  </x:si>
  <x:si>
    <x:t xml:space="preserve">POST /api/locations</x:t>
  </x:si>
  <x:si>
    <x:t xml:space="preserve">เช็คอิน (submit)</x:t>
  </x:si>
  <x:si>
    <x:t xml:space="preserve">POST /api/checkins</x:t>
  </x:si>
  <x:si>
    <x:t xml:space="preserve">/linewalk</x:t>
  </x:si>
  <x:si>
    <x:t xml:space="preserve">Linewalk.tsx</x:t>
  </x:si>
  <x:si>
    <x:t xml:space="preserve">โหลด plants/offices/sites/orgs</x:t>
  </x:si>
  <x:si>
    <x:t xml:space="preserve">GET /api/locations/{plants,offices,sites}, /api/organizations</x:t>
  </x:si>
  <x:si>
    <x:t xml:space="preserve">ตอบ checklist / Submit</x:t>
  </x:si>
  <x:si>
    <x:t xml:space="preserve">FACTORY/OFFICE/SITE_CHECKLIST ฮาร์ดโค้ด; คำตอบส่งต่อไป summary (บันทึกจริงที่นั่น)</x:t>
  </x:si>
  <x:si>
    <x:t xml:space="preserve">/create-post</x:t>
  </x:si>
  <x:si>
    <x:t xml:space="preserve">CreatePost.tsx</x:t>
  </x:si>
  <x:si>
    <x:t xml:space="preserve">บันทึกแคปชัน</x:t>
  </x:si>
  <x:si>
    <x:t xml:space="preserve">handleSave แค่ navigate ไม่มี API</x:t>
  </x:si>
  <x:si>
    <x:t xml:space="preserve">/assessment-summary</x:t>
  </x:si>
  <x:si>
    <x:t xml:space="preserve">AssessmentSummary.tsx</x:t>
  </x:si>
  <x:si>
    <x:t xml:space="preserve">ยืนยัน/บันทึกผลตรวจ</x:t>
  </x:si>
  <x:si>
    <x:t xml:space="preserve">POST /api/safety-effort/activities + /submissions</x:t>
  </x:si>
  <x:si>
    <x:t xml:space="preserve">จุดบันทึกจริงของทั้ง wizard</x:t>
  </x:si>
  <x:si>
    <x:t xml:space="preserve">/safety-contact</x:t>
  </x:si>
  <x:si>
    <x:t xml:space="preserve">SafetyContact.tsx</x:t>
  </x:si>
  <x:si>
    <x:t xml:space="preserve">เริ่ม/บันทึก</x:t>
  </x:si>
  <x:si>
    <x:t xml:space="preserve">navigate พร้อม state (ส่วนหนึ่งของ wizard)</x:t>
  </x:si>
  <x:si>
    <x:t xml:space="preserve">/work-permit</x:t>
  </x:si>
  <x:si>
    <x:t xml:space="preserve">ทั้งหน้า</x:t>
  </x:si>
  <x:si>
    <x:t xml:space="preserve">TODO-NOOP</x:t>
  </x:si>
  <x:si>
    <x:t xml:space="preserve">ยังไม่ทำ/ปุ่มลอย</x:t>
  </x:si>
  <x:si>
    <x:t xml:space="preserve">หน้า 'กำลังอยู่ระหว่างพัฒนา' ยังไม่มีฟังก์ชัน</x:t>
  </x:si>
  <x:si>
    <x:t xml:space="preserve">/notifications</x:t>
  </x:si>
  <x:si>
    <x:t xml:space="preserve">แสดงรายการ</x:t>
  </x:si>
  <x:si>
    <x:t xml:space="preserve">GET /api/notifications</x:t>
  </x:si>
  <x:si>
    <x:t xml:space="preserve">กดอ่านการแจ้งเตือน (mark read)</x:t>
  </x:si>
  <x:si>
    <x:t xml:space="preserve">PATCH /api/notifications/:id/read</x:t>
  </x:si>
  <x:si>
    <x:t xml:space="preserve">ผ่าน markInboxNotificationRead</x:t>
  </x:si>
  <x:si>
    <x:t xml:space="preserve">ถูกใจ / คอมเมนต์ จากแจ้งเตือน</x:t>
  </x:si>
  <x:si>
    <x:t xml:space="preserve">POST /api/safety-culture/posts/:id/reactions, /comments</x:t>
  </x:si>
  <x:si>
    <x:t xml:space="preserve">/profile</x:t>
  </x:si>
  <x:si>
    <x:t xml:space="preserve">อัปโหลดรูปโปรไฟล์</x:t>
  </x:si>
  <x:si>
    <x:t xml:space="preserve">POST /api/uploads</x:t>
  </x:si>
  <x:si>
    <x:t xml:space="preserve">บันทึกโปรไฟล์ (ชื่อ/รูป)</x:t>
  </x:si>
  <x:si>
    <x:t xml:space="preserve">PATCH /api/users/me</x:t>
  </x:si>
  <x:si>
    <x:t xml:space="preserve">ลบรูป</x:t>
  </x:si>
  <x:si>
    <x:t xml:space="preserve">/profile/activity-history</x:t>
  </x:si>
  <x:si>
    <x:t xml:space="preserve">useAppState (hydrated)</x:t>
  </x:si>
  <x:si>
    <x:t xml:space="preserve">ตัวกรองช่วงเวลา (7/30/90)</x:t>
  </x:si>
  <x:si>
    <x:t xml:space="preserve">กรองฝั่ง client จากข้อมูลที่โหลดแล้ว</x:t>
  </x:si>
  <x:si>
    <x:t xml:space="preserve">/safety-culture</x:t>
  </x:si>
  <x:si>
    <x:t xml:space="preserve">ฟีด / ตัวกรองหมวด+ขอบเขต</x:t>
  </x:si>
  <x:si>
    <x:t xml:space="preserve">GET /api/safety-culture/posts?scope=&amp;category=</x:t>
  </x:si>
  <x:si>
    <x:t xml:space="preserve">fetchPosts (จริง)</x:t>
  </x:si>
  <x:si>
    <x:t xml:space="preserve">ถูกใจ (toggle)</x:t>
  </x:si>
  <x:si>
    <x:t xml:space="preserve">POST/DELETE /api/safety-culture/posts/:id/reactions</x:t>
  </x:si>
  <x:si>
    <x:t xml:space="preserve">เพิ่ม/แก้/ลบ คอมเมนต์</x:t>
  </x:si>
  <x:si>
    <x:t xml:space="preserve">POST/PATCH/DELETE .../posts/:id/comments, /comments/:id</x:t>
  </x:si>
  <x:si>
    <x:t xml:space="preserve">รีแอคชันคอมเมนต์</x:t>
  </x:si>
  <x:si>
    <x:t xml:space="preserve">POST/DELETE /api/safety-culture/comments/:id/reactions</x:t>
  </x:si>
  <x:si>
    <x:t xml:space="preserve">แก้/ลบ โพสต์</x:t>
  </x:si>
  <x:si>
    <x:t xml:space="preserve">PATCH/DELETE /api/safety-culture/posts/:id</x:t>
  </x:si>
  <x:si>
    <x:t xml:space="preserve">/safety-culture/post</x:t>
  </x:si>
  <x:si>
    <x:t xml:space="preserve">อัปโหลดรูป</x:t>
  </x:si>
  <x:si>
    <x:t xml:space="preserve">ส่งโพสต์</x:t>
  </x:si>
  <x:si>
    <x:t xml:space="preserve">POST /api/safety-culture/posts</x:t>
  </x:si>
  <x:si>
    <x:t xml:space="preserve">addPost (จริง)</x:t>
  </x:si>
  <x:si>
    <x:t xml:space="preserve">/safety-culture/leaderboard</x:t>
  </x:si>
  <x:si>
    <x:t xml:space="preserve">อันดับทีม/บุคคล</x:t>
  </x:si>
  <x:si>
    <x:t xml:space="preserve">GET /api/safety-culture/leaderboard, /teams</x:t>
  </x:si>
  <x:si>
    <x:t xml:space="preserve">ปุ่มดูทั้งหมด</x:t>
  </x:si>
  <x:si>
    <x:t xml:space="preserve">state UI อย่างเดียว</x:t>
  </x:si>
  <x:si>
    <x:t xml:space="preserve">/safety-culture/rewards</x:t>
  </x:si>
  <x:si>
    <x:t xml:space="preserve">แสดง catalog</x:t>
  </x:si>
  <x:si>
    <x:t xml:space="preserve">GET /api/safety-culture/rewards</x:t>
  </x:si>
  <x:si>
    <x:t xml:space="preserve">แลกรางวัล</x:t>
  </x:si>
  <x:si>
    <x:t xml:space="preserve">POST /api/safety-culture/rewards/:id/redeem</x:t>
  </x:si>
  <x:si>
    <x:t xml:space="preserve">redeemPoints (จริง)</x:t>
  </x:si>
  <x:si>
    <x:t xml:space="preserve">/safety-culture/admin-event</x:t>
  </x:si>
  <x:si>
    <x:t xml:space="preserve">บันทึกตั้งค่ากิจกรรม</x:t>
  </x:si>
  <x:si>
    <x:t xml:space="preserve">POST /api/safety-culture/events</x:t>
  </x:si>
  <x:si>
    <x:t xml:space="preserve">updateSafetyCultureEvent</x:t>
  </x:si>
  <x:si>
    <x:t xml:space="preserve">บันทึก/ลบ กิจกรรมฟีด</x:t>
  </x:si>
  <x:si>
    <x:t xml:space="preserve">POST/PATCH/DELETE /api/safety-culture/events(/:id)</x:t>
  </x:si>
  <x:si>
    <x:t xml:space="preserve">updateFeedEvents</x:t>
  </x:si>
  <x:si>
    <x:t xml:space="preserve">ส่งการแจ้งเตือน</x:t>
  </x:si>
  <x:si>
    <x:t xml:space="preserve">POST /api/safety-culture/events/:id/notify</x:t>
  </x:si>
  <x:si>
    <x:t xml:space="preserve">sendFeedEventNotification</x:t>
  </x:si>
  <x:si>
    <x:t xml:space="preserve">/safety-culture/admin-reward</x:t>
  </x:si>
  <x:si>
    <x:t xml:space="preserve">บันทึก catalog รางวัล</x:t>
  </x:si>
  <x:si>
    <x:t xml:space="preserve">POST/PATCH/DELETE /api/safety-culture/rewards</x:t>
  </x:si>
  <x:si>
    <x:t xml:space="preserve">บันทึกหมวดหมู่</x:t>
  </x:si>
  <x:si>
    <x:t xml:space="preserve">PUT /api/safety-settings?key=safety_reward_categories</x:t>
  </x:si>
  <x:si>
    <x:t xml:space="preserve">updateRewardCategories</x:t>
  </x:si>
  <x:si>
    <x:t xml:space="preserve">/safety-culture/admin-awareness</x:t>
  </x:si>
  <x:si>
    <x:t xml:space="preserve">บันทึก/ลบ คำถาม</x:t>
  </x:si>
  <x:si>
    <x:t xml:space="preserve">POST/PATCH/DELETE /api/safety-awareness/questions</x:t>
  </x:si>
  <x:si>
    <x:t xml:space="preserve">updateAwarenessQuestions</x:t>
  </x:si>
  <x:si>
    <x:t xml:space="preserve">บันทึกวันหยุด</x:t>
  </x:si>
  <x:si>
    <x:t xml:space="preserve">POST/DELETE /api/holidays</x:t>
  </x:si>
  <x:si>
    <x:t xml:space="preserve">updateAwarenessHolidays</x:t>
  </x:si>
  <x:si>
    <x:t xml:space="preserve">อัปโหลดรูปคำถาม</x:t>
  </x:si>
  <x:si>
    <x:t xml:space="preserve">/safety-culture/admin-leaderboard</x:t>
  </x:si>
  <x:si>
    <x:t xml:space="preserve">โหลดหน่วยงาน/ผู้ใช้</x:t>
  </x:si>
  <x:si>
    <x:t xml:space="preserve">GET /api/organizations, /api/users</x:t>
  </x:si>
  <x:si>
    <x:t xml:space="preserve">บันทึกอันดับทีม</x:t>
  </x:si>
  <x:si>
    <x:t xml:space="preserve">PUT /api/safety-culture/teams</x:t>
  </x:si>
  <x:si>
    <x:t xml:space="preserve">updateTeamStandings</x:t>
  </x:si>
  <x:si>
    <x:t xml:space="preserve">บันทึกอันดับบุคคล (personal rankings)</x:t>
  </x:si>
  <x:si>
    <x:t xml:space="preserve">updatePersonalRankings แค่ setState ไม่มี API/endpoint รองรับ → แก้แล้วหายเมื่อรีเฟรช</x:t>
  </x:si>
  <x:si>
    <x:t xml:space="preserve">/safety-culture/admin-users</x:t>
  </x:si>
  <x:si>
    <x:t xml:space="preserve">โหลดผู้ใช้/สิทธิ์</x:t>
  </x:si>
  <x:si>
    <x:t xml:space="preserve">GET /api/users, /api/roles</x:t>
  </x:si>
  <x:si>
    <x:t xml:space="preserve">ให้/ถอน สิทธิ์แอดมิน</x:t>
  </x:si>
  <x:si>
    <x:t xml:space="preserve">PUT /api/users/:id/roles</x:t>
  </x:si>
  <x:si>
    <x:t xml:space="preserve">/were-ok</x:t>
  </x:si>
  <x:si>
    <x:t xml:space="preserve">แสดงสถานะ</x:t>
  </x:si>
  <x:si>
    <x:t xml:space="preserve">GET /api/were-ok/state/me</x:t>
  </x:si>
  <x:si>
    <x:t xml:space="preserve">ส่ง SOS</x:t>
  </x:si>
  <x:si>
    <x:t xml:space="preserve">POST /api/were-ok/sos-events</x:t>
  </x:si>
  <x:si>
    <x:t xml:space="preserve">setSosData</x:t>
  </x:si>
  <x:si>
    <x:t xml:space="preserve">ปุ่มยืนยันคิว (Confirm queue)</x:t>
  </x:si>
  <x:si>
    <x:t xml:space="preserve">confirmQueue แค่ setQueueConfirmed(true) ไม่เรียก POST /api/were-ok/jobs (มี endpoint แต่ไม่ถูกใช้)</x:t>
  </x:si>
  <x:si>
    <x:t xml:space="preserve">/were-ok/fit-to-drive</x:t>
  </x:si>
  <x:si>
    <x:t xml:space="preserve">ส่งข้อมูลสุขภาพ/ความดัน/แอลกอฮอล์</x:t>
  </x:si>
  <x:si>
    <x:t xml:space="preserve">POST /api/were-ok/health-checks</x:t>
  </x:si>
  <x:si>
    <x:t xml:space="preserve">setHealthData</x:t>
  </x:si>
  <x:si>
    <x:t xml:space="preserve">ถ่ายรูป (camera)</x:t>
  </x:si>
  <x:si>
    <x:t xml:space="preserve">media ในเครื่อง, อัปโหลดพร้อม submission</x:t>
  </x:si>
  <x:si>
    <x:t xml:space="preserve">/were-ok/kyt</x:t>
  </x:si>
  <x:si>
    <x:t xml:space="preserve">ส่ง KYT (รูป)</x:t>
  </x:si>
  <x:si>
    <x:t xml:space="preserve">POST /api/were-ok/kyt-records</x:t>
  </x:si>
  <x:si>
    <x:t xml:space="preserve">setKytData</x:t>
  </x:si>
  <x:si>
    <x:t xml:space="preserve">/were-ok/pre-trip</x:t>
  </x:si>
  <x:si>
    <x:t xml:space="preserve">ทำ checklist เสร็จ</x:t>
  </x:si>
  <x:si>
    <x:t xml:space="preserve">POST /api/were-ok/pretrip-checks</x:t>
  </x:si>
  <x:si>
    <x:t xml:space="preserve">setPreTripData</x:t>
  </x:si>
  <x:si>
    <x:t xml:space="preserve">/were-ok/route-briefing</x:t>
  </x:si>
  <x:si>
    <x:t xml:space="preserve">รับทราบ (acknowledge)</x:t>
  </x:si>
  <x:si>
    <x:t xml:space="preserve">POST /api/were-ok/jobs/:id/acknowledge</x:t>
  </x:si>
  <x:si>
    <x:t xml:space="preserve">แสดงงานปัจจุบัน</x:t>
  </x:si>
  <x:si>
    <x:t xml:space="preserve">GET /api/were-ok/jobs/current</x:t>
  </x:si>
  <x:si>
    <x:t xml:space="preserve">/safety-admin</x:t>
  </x:si>
  <x:si>
    <x:t xml:space="preserve">SafetyAdmin.tsx</x:t>
  </x:si>
  <x:si>
    <x:t xml:space="preserve">โหมดย้อนวันที่ (toggle/save)</x:t>
  </x:si>
  <x:si>
    <x:t xml:space="preserve">GET/PUT /api/safety-settings?key=safety_backdate</x:t>
  </x:si>
  <x:si>
    <x:t xml:space="preserve">บันทึกร่าง / คืนค่าเริ่มต้น (checklist)</x:t>
  </x:si>
  <x:si>
    <x:t xml:space="preserve">PUT /api/safety-settings?key=safety_checklists</x:t>
  </x:si>
  <x:si>
    <x:t xml:space="preserve">saveChecklistDraft</x:t>
  </x:si>
  <x:si>
    <x:t xml:space="preserve">เพิ่ม/ทำซ้ำ คำถาม</x:t>
  </x:si>
  <x:si>
    <x:t xml:space="preserve">แก้ draft state, บันทึกจริงตอนกด Save</x:t>
  </x:si>
  <x:si>
    <x:t xml:space="preserve">/safety-admin/manage-data</x:t>
  </x:si>
  <x:si>
    <x:t xml:space="preserve">SafetyAdminManageData.tsx</x:t>
  </x:si>
  <x:si>
    <x:t xml:space="preserve">โหลดสถานที่</x:t>
  </x:si>
  <x:si>
    <x:t xml:space="preserve">GET /api/safety-effort/locations</x:t>
  </x:si>
  <x:si>
    <x:t xml:space="preserve">สร้าง/แก้ plant/office/site</x:t>
  </x:si>
  <x:si>
    <x:t xml:space="preserve">POST/PATCH /api/safety-effort/locations(/:id)</x:t>
  </x:si>
  <x:si>
    <x:t xml:space="preserve">ลบ</x:t>
  </x:si>
  <x:si>
    <x:t xml:space="preserve">DELETE /api/safety-effort/locations/:id</x:t>
  </x:si>
  <x:si>
    <x:t xml:space="preserve">นำเข้า Excel</x:t>
  </x:si>
  <x:si>
    <x:t xml:space="preserve">POST /api/safety-effort/locations (ต่อแถว)</x:t>
  </x:si>
  <x:si>
    <x:t xml:space="preserve">อ่านไฟล์ฝั่ง client แล้ว POST</x:t>
  </x:si>
  <x:si>
    <x:t xml:space="preserve">/safety-admin/export-report</x:t>
  </x:si>
  <x:si>
    <x:t xml:space="preserve">SafetyAdminExportReport.tsx</x:t>
  </x:si>
  <x:si>
    <x:t xml:space="preserve">โหลด submissions</x:t>
  </x:si>
  <x:si>
    <x:t xml:space="preserve">GET /api/safety-effort/submissions</x:t>
  </x:si>
  <x:si>
    <x:t xml:space="preserve">แก้ submission</x:t>
  </x:si>
  <x:si>
    <x:t xml:space="preserve">PATCH /api/safety-effort/submissions/:id</x:t>
  </x:si>
  <x:si>
    <x:t xml:space="preserve">DELETE /api/safety-effort/submissions/:id</x:t>
  </x:si>
  <x:si>
    <x:t xml:space="preserve">Export (CSV)</x:t>
  </x:si>
  <x:si>
    <x:t xml:space="preserve">สร้าง CSV ฝั่ง client จากข้อมูลที่โหลด</x:t>
  </x:si>
  <x:si>
    <x:t xml:space="preserve">/safety-admin/report-history</x:t>
  </x:si>
  <x:si>
    <x:t xml:space="preserve">SafetyAdminReportHistory.tsx</x:t>
  </x:si>
  <x:si>
    <x:t xml:space="preserve">โหลดประวัติ</x:t>
  </x:si>
  <x:si>
    <x:t xml:space="preserve">ลบ submission</x:t>
  </x:si>
  <x:si>
    <x:t xml:space="preserve">(ทุกหน้า)</x:t>
  </x:si>
  <x:si>
    <x:t xml:space="preserve">floating-safety-assistant.tsx</x:t>
  </x:si>
  <x:si>
    <x:t xml:space="preserve">แชตผู้ช่วย AI (ส่งข้อความ)</x:t>
  </x:si>
  <x:si>
    <x:t xml:space="preserve">POST /api/assistant/chat</x:t>
  </x:si>
  <x:si>
    <x:t xml:space="preserve">backend proxy ไป OpenRouter</x:t>
  </x:si>
  <x:si>
    <x:t xml:space="preserve">สรุปสถานะการเชื่อม API</x:t>
  </x:si>
  <x:si>
    <x:t xml:space="preserve">ความหมาย</x:t>
  </x:si>
  <x:si>
    <x:t xml:space="preserve">จำนวน</x:t>
  </x:si>
  <x:si>
    <x:t xml:space="preserve">BROKEN</x:t>
  </x:si>
  <x:si>
    <x:t xml:space="preserve">เรียก endpoint ที่ไม่มีจริง</x:t>
  </x:si>
  <x:si>
    <x:t xml:space="preserve">รวม</x:t>
  </x:si>
  <x:si>
    <x:t xml:space="preserve">จุดสำคัญที่ยังไม่เชื่อม API (ควรแก้):</x:t>
  </x:si>
  <x:si>
    <x:t xml:space="preserve">Dashboard กราฟ 2/3/4 (safe-unsafe, %แก้ไข, safeRate ราย BU) = ข้อมูล mock — ยังไม่มี endpoint สรุปจริง (มี TODO(DB))</x:t>
  </x:si>
  <x:si>
    <x:t xml:space="preserve">ปุ่ม 'ยืนยันคิว' (We're OK) = แค่ set state ไม่เรียก POST /api/were-ok/jobs (endpoint มีอยู่แต่ไม่ถูกใช้) -&gt; ไม่บันทึกจริง</x:t>
  </x:si>
  <x:si>
    <x:t xml:space="preserve">บันทึก 'อันดับบุคคล' ในแอดมิน Leaderboard = แค่ set state ไม่มี API/endpoint รองรับ -&gt; แก้แล้วหายเมื่อรีเฟรช</x:t>
  </x:si>
  <x:si>
    <x:t xml:space="preserve">หน้า /work-permit = หน้า 'กำลังพัฒนา' ยังไม่มีฟังก์ชัน</x:t>
  </x:si>
  <x:si>
    <x:t xml:space="preserve">ขั้นกลางของ wizard (เพิ่มกิจกรรมเอง, คำตอบ Linewalk, แคปชัน, Safety Contact) เก็บใน state เท่านั้น — บันทึกจริงตอนจบที่ Assessment Summary; ถ้าออกกลางคันข้อมูลหาย และกิจกรรมที่เพิ่มเองไม่ถูกบันทึกฝั่งเซิร์ฟเวอร์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</x:si>
</x:sst>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E7B34"/>
      <x:name val="Arial"/>
    </x:font>
    <x:font>
      <x:sz val="10"/>
      <x:color rgb="FF1E7B34"/>
      <x:name val="Arial"/>
    </x:font>
    <x:font>
      <x:b/>
      <x:sz val="10"/>
      <x:color rgb="FF974706"/>
      <x:name val="Arial"/>
    </x:font>
    <x:font>
      <x:sz val="10"/>
      <x:color rgb="FF974706"/>
      <x:name val="Arial"/>
    </x:font>
    <x:font>
      <x:b/>
      <x:sz val="10"/>
      <x:color rgb="FF9C6500"/>
      <x:name val="Arial"/>
    </x:font>
    <x:font>
      <x:sz val="10"/>
      <x:color rgb="FF9C6500"/>
      <x:name val="Arial"/>
    </x:font>
    <x:font>
      <x:b/>
      <x:sz val="10"/>
      <x:color rgb="FF9C0006"/>
      <x:name val="Arial"/>
    </x:font>
    <x:font>
      <x:sz val="10"/>
      <x:color rgb="FF9C0006"/>
      <x:name val="Arial"/>
    </x:font>
    <x:font>
      <x:b/>
      <x:sz val="14"/>
      <x:color rgb="FF305496"/>
      <x:name val="Arial"/>
    </x:font>
    <x:font>
      <x:b/>
      <x:sz val="11"/>
      <x:color rgb="FF1E7B34"/>
      <x:name val="Arial"/>
    </x:font>
    <x:font>
      <x:sz val="11"/>
      <x:name val="Arial"/>
    </x:font>
    <x:font>
      <x:b/>
      <x:sz val="11"/>
      <x:color rgb="FF9C6500"/>
      <x:name val="Arial"/>
    </x:font>
    <x:font>
      <x:b/>
      <x:sz val="11"/>
      <x:color rgb="FF974706"/>
      <x:name val="Arial"/>
    </x:font>
    <x:font>
      <x:b/>
      <x:sz val="11"/>
      <x:color rgb="FF9C0006"/>
      <x:name val="Arial"/>
    </x:font>
    <x:font>
      <x:b/>
      <x:sz val="11"/>
      <x:name val="Arial"/>
    </x:font>
    <x:font>
      <x:b/>
      <x:sz val="12"/>
      <x:color rgb="FF9C000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C6EFCE"/>
      </x:patternFill>
    </x:fill>
    <x:fill>
      <x:patternFill patternType="solid">
        <x:fgColor rgb="FFFCD5B4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E26B0A"/>
      </x:patternFill>
    </x:fill>
  </x:fills>
  <x:borders count="2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5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top" wrapText="1"/>
    </x:xf>
    <x:xf numFmtId="164" fontId="6" fillId="3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general" vertical="top" wrapText="1"/>
    </x:xf>
    <x:xf numFmtId="164" fontId="8" fillId="4" borderId="1" xfId="0" applyFont="1" applyBorder="1" applyAlignment="1">
      <x:alignment horizontal="center" vertical="center" wrapText="0"/>
    </x:xf>
    <x:xf numFmtId="164" fontId="9" fillId="4" borderId="1" xfId="0" applyFont="1" applyBorder="1" applyAlignment="1">
      <x:alignment horizontal="general" vertical="top" wrapText="1"/>
    </x:xf>
    <x:xf numFmtId="164" fontId="10" fillId="5" borderId="1" xfId="0" applyFont="1" applyBorder="1" applyAlignment="1">
      <x:alignment horizontal="center" vertical="center" wrapText="0"/>
    </x:xf>
    <x:xf numFmtId="164" fontId="11" fillId="5" borderId="1" xfId="0" applyFont="1" applyBorder="1" applyAlignment="1">
      <x:alignment horizontal="general" vertical="top" wrapText="1"/>
    </x:xf>
    <x:xf numFmtId="164" fontId="12" fillId="6" borderId="1" xfId="0" applyFont="1" applyBorder="1" applyAlignment="1">
      <x:alignment horizontal="center" vertical="center" wrapText="0"/>
    </x:xf>
    <x:xf numFmtId="164" fontId="13" fillId="6" borderId="1" xfId="0" applyFont="1" applyBorder="1" applyAlignment="1">
      <x:alignment horizontal="general" vertical="top" wrapText="1"/>
    </x:xf>
    <x:xf numFmtId="164" fontId="14" fillId="0" borderId="0" xfId="0" applyFont="1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bottom" wrapText="0"/>
    </x:xf>
    <x:xf numFmtId="164" fontId="15" fillId="3" borderId="1" xfId="0" applyFont="1" applyBorder="1" applyAlignment="0">
      <x:alignment horizontal="general" vertical="bottom" wrapText="0"/>
    </x:xf>
    <x:xf numFmtId="164" fontId="16" fillId="0" borderId="1" xfId="0" applyFont="1" applyBorder="1" applyAlignment="0">
      <x:alignment horizontal="general" vertical="bottom" wrapText="0"/>
    </x:xf>
    <x:xf numFmtId="164" fontId="16" fillId="0" borderId="1" xfId="0" applyFont="1" applyBorder="1" applyAlignment="1">
      <x:alignment horizontal="center" vertical="bottom" wrapText="0"/>
    </x:xf>
    <x:xf numFmtId="164" fontId="17" fillId="5" borderId="1" xfId="0" applyFont="1" applyBorder="1" applyAlignment="0">
      <x:alignment horizontal="general" vertical="bottom" wrapText="0"/>
    </x:xf>
    <x:xf numFmtId="164" fontId="18" fillId="4" borderId="1" xfId="0" applyFont="1" applyBorder="1" applyAlignment="0">
      <x:alignment horizontal="general" vertical="bottom" wrapText="0"/>
    </x:xf>
    <x:xf numFmtId="164" fontId="19" fillId="6" borderId="1" xfId="0" applyFont="1" applyBorder="1" applyAlignment="0">
      <x:alignment horizontal="general" vertical="bottom" wrapText="0"/>
    </x:xf>
    <x:xf numFmtId="164" fontId="4" fillId="7" borderId="1" xfId="0" applyFont="1" applyBorder="1" applyAlignment="0">
      <x:alignment horizontal="general" vertical="bottom" wrapText="0"/>
    </x:xf>
    <x:xf numFmtId="164" fontId="20" fillId="0" borderId="0" xfId="0" applyFont="1" applyBorder="0" applyAlignment="0">
      <x:alignment horizontal="general" vertical="bottom" wrapText="0"/>
    </x:xf>
    <x:xf numFmtId="164" fontId="20" fillId="0" borderId="0" xfId="0" applyFont="1" applyBorder="0" applyAlignment="1">
      <x:alignment horizontal="center" vertical="bottom" wrapText="0"/>
    </x:xf>
    <x:xf numFmtId="164" fontId="21" fillId="0" borderId="0" xfId="0" applyFont="1" applyBorder="0" applyAlignment="0">
      <x:alignment horizontal="general" vertical="bottom" wrapText="0"/>
    </x:xf>
    <x:xf numFmtId="164" fontId="5" fillId="0" borderId="0" xfId="0" applyFont="1" applyBorder="1" applyAlignment="1">
      <x:alignment horizontal="general" vertical="top" wrapText="1"/>
    </x:xf>
    <x:xf numFmtId="164" fontId="1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1">
    <x:dxf>
      <x:fill>
        <x:patternFill>
          <x:bgColor rgb="FF305496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CD5B4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1E7B34"/>
        </x:patternFill>
      </x:fill>
    </x:dxf>
    <x:dxf>
      <x:fill>
        <x:patternFill>
          <x:bgColor rgb="FF974706"/>
        </x:patternFill>
      </x:fill>
    </x:dxf>
    <x:dxf>
      <x:fill>
        <x:patternFill>
          <x:bgColor rgb="FF9C0006"/>
        </x:patternFill>
      </x:fill>
    </x:dxf>
    <x:dxf>
      <x:fill>
        <x:patternFill>
          <x:bgColor rgb="FF9C6500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1E7B34"/>
      <x:rgbColor rgb="FF000080"/>
      <x:rgbColor rgb="FF9C6500"/>
      <x:rgbColor rgb="FF800080"/>
      <x:rgbColor rgb="FF008080"/>
      <x:rgbColor rgb="FFFFC7CE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CD5B4"/>
      <x:rgbColor rgb="FF3366FF"/>
      <x:rgbColor rgb="FF33CCCC"/>
      <x:rgbColor rgb="FF99CC00"/>
      <x:rgbColor rgb="FFFFCC00"/>
      <x:rgbColor rgb="FFFF9900"/>
      <x:rgbColor rgb="FFE26B0A"/>
      <x:rgbColor rgb="FF666699"/>
      <x:rgbColor rgb="FF969696"/>
      <x:rgbColor rgb="FF003366"/>
      <x:rgbColor rgb="FF339966"/>
      <x:rgbColor rgb="FF003300"/>
      <x:rgbColor rgb="FF333300"/>
      <x:rgbColor rgb="FF974706"/>
      <x:rgbColor rgb="FF993366"/>
      <x:rgbColor rgb="FF30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6bfd0bf8b402e" /><Relationship Type="http://schemas.openxmlformats.org/officeDocument/2006/relationships/theme" Target="/xl/theme/theme1.xml" Id="R0b3c53108c4e4a93" /><Relationship Type="http://schemas.openxmlformats.org/officeDocument/2006/relationships/sharedStrings" Target="/xl/sharedStrings.xml" Id="Rcebbe33ee9424bf6" /><Relationship Type="http://schemas.openxmlformats.org/officeDocument/2006/relationships/worksheet" Target="/xl/worksheets/sheet1.xml" Id="R39ff3baba84e4c24" /><Relationship Type="http://schemas.openxmlformats.org/officeDocument/2006/relationships/worksheet" Target="/xl/worksheets/sheet2.xml" Id="R6a8dd4a55011476b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28" hidden="0" customWidth="1"/>
    <x:col min="3" max="3" width="34" hidden="0" customWidth="1"/>
    <x:col min="4" max="4" width="13" hidden="0" customWidth="1"/>
    <x:col min="5" max="5" width="22" hidden="0" customWidth="1"/>
    <x:col min="6" max="6" width="46" hidden="0" customWidth="1"/>
    <x:col min="7" max="7" width="52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15" hidden="0">
      <x:c r="A2" s="2" t="s">
        <x:v>7</x:v>
      </x:c>
      <x:c r="B2" s="2" t="s">
        <x:v>8</x:v>
      </x:c>
      <x:c r="C2" s="2" t="s">
        <x:v>9</x:v>
      </x:c>
      <x:c r="D2" s="3" t="s">
        <x:v>10</x:v>
      </x:c>
      <x:c r="E2" s="4" t="s">
        <x:v>11</x:v>
      </x:c>
      <x:c r="F2" s="2" t="s">
        <x:v>12</x:v>
      </x:c>
      <x:c r="G2" s="2" t="s">
        <x:v>13</x:v>
      </x:c>
    </x:row>
    <x:row r="3" ht="23.850000381469727" hidden="0">
      <x:c r="A3" s="2" t="s">
        <x:v>7</x:v>
      </x:c>
      <x:c r="B3" s="2" t="s">
        <x:v>8</x:v>
      </x:c>
      <x:c r="C3" s="2" t="s">
        <x:v>14</x:v>
      </x:c>
      <x:c r="D3" s="5" t="s">
        <x:v>15</x:v>
      </x:c>
      <x:c r="E3" s="6" t="s">
        <x:v>16</x:v>
      </x:c>
      <x:c r="F3" s="2" t="s">
        <x:v>17</x:v>
      </x:c>
      <x:c r="G3" s="2" t="s">
        <x:v>18</x:v>
      </x:c>
    </x:row>
    <x:row r="4" ht="23.850000381469727" hidden="0">
      <x:c r="A4" s="2" t="s">
        <x:v>7</x:v>
      </x:c>
      <x:c r="B4" s="2" t="s">
        <x:v>8</x:v>
      </x:c>
      <x:c r="C4" s="2" t="s">
        <x:v>19</x:v>
      </x:c>
      <x:c r="D4" s="7" t="s">
        <x:v>20</x:v>
      </x:c>
      <x:c r="E4" s="8" t="s">
        <x:v>21</x:v>
      </x:c>
      <x:c r="F4" s="2" t="s">
        <x:v>17</x:v>
      </x:c>
      <x:c r="G4" s="2" t="s">
        <x:v>22</x:v>
      </x:c>
    </x:row>
    <x:row r="5" ht="15" hidden="0">
      <x:c r="A5" s="2" t="s">
        <x:v>23</x:v>
      </x:c>
      <x:c r="B5" s="2" t="s">
        <x:v>24</x:v>
      </x:c>
      <x:c r="C5" s="2" t="s">
        <x:v>25</x:v>
      </x:c>
      <x:c r="D5" s="3" t="s">
        <x:v>10</x:v>
      </x:c>
      <x:c r="E5" s="4" t="s">
        <x:v>11</x:v>
      </x:c>
      <x:c r="F5" s="2" t="s">
        <x:v>26</x:v>
      </x:c>
      <x:c r="G5" s="2" t="s">
        <x:v>27</x:v>
      </x:c>
    </x:row>
    <x:row r="6" ht="15" hidden="0">
      <x:c r="A6" s="2" t="s">
        <x:v>28</x:v>
      </x:c>
      <x:c r="B6" s="2" t="s">
        <x:v>29</x:v>
      </x:c>
      <x:c r="C6" s="2" t="s">
        <x:v>30</x:v>
      </x:c>
      <x:c r="D6" s="3" t="s">
        <x:v>10</x:v>
      </x:c>
      <x:c r="E6" s="4" t="s">
        <x:v>11</x:v>
      </x:c>
      <x:c r="F6" s="2" t="s">
        <x:v>31</x:v>
      </x:c>
      <x:c r="G6" s="2" t="s">
        <x:v>32</x:v>
      </x:c>
    </x:row>
    <x:row r="7" ht="15" hidden="0">
      <x:c r="A7" s="2" t="s">
        <x:v>28</x:v>
      </x:c>
      <x:c r="B7" s="2" t="s">
        <x:v>29</x:v>
      </x:c>
      <x:c r="C7" s="2" t="s">
        <x:v>33</x:v>
      </x:c>
      <x:c r="D7" s="3" t="s">
        <x:v>10</x:v>
      </x:c>
      <x:c r="E7" s="4" t="s">
        <x:v>11</x:v>
      </x:c>
      <x:c r="F7" s="2" t="s">
        <x:v>34</x:v>
      </x:c>
      <x:c r="G7" s="2" t="s">
        <x:v>35</x:v>
      </x:c>
    </x:row>
    <x:row r="8" ht="23.850000381469727" hidden="0">
      <x:c r="A8" s="2" t="s">
        <x:v>28</x:v>
      </x:c>
      <x:c r="B8" s="2" t="s">
        <x:v>29</x:v>
      </x:c>
      <x:c r="C8" s="2" t="s">
        <x:v>36</x:v>
      </x:c>
      <x:c r="D8" s="5" t="s">
        <x:v>15</x:v>
      </x:c>
      <x:c r="E8" s="6" t="s">
        <x:v>16</x:v>
      </x:c>
      <x:c r="F8" s="2" t="s">
        <x:v>17</x:v>
      </x:c>
      <x:c r="G8" s="2" t="s">
        <x:v>37</x:v>
      </x:c>
    </x:row>
    <x:row r="9" ht="23.850000381469727" hidden="0">
      <x:c r="A9" s="2" t="s">
        <x:v>38</x:v>
      </x:c>
      <x:c r="B9" s="2" t="s">
        <x:v>39</x:v>
      </x:c>
      <x:c r="C9" s="2" t="s">
        <x:v>40</x:v>
      </x:c>
      <x:c r="D9" s="7" t="s">
        <x:v>20</x:v>
      </x:c>
      <x:c r="E9" s="8" t="s">
        <x:v>21</x:v>
      </x:c>
      <x:c r="F9" s="2" t="s">
        <x:v>17</x:v>
      </x:c>
      <x:c r="G9" s="2" t="s">
        <x:v>41</x:v>
      </x:c>
    </x:row>
    <x:row r="10" ht="23.850000381469727" hidden="0">
      <x:c r="A10" s="2" t="s">
        <x:v>42</x:v>
      </x:c>
      <x:c r="B10" s="2" t="s">
        <x:v>43</x:v>
      </x:c>
      <x:c r="C10" s="2" t="s">
        <x:v>44</x:v>
      </x:c>
      <x:c r="D10" s="7" t="s">
        <x:v>20</x:v>
      </x:c>
      <x:c r="E10" s="8" t="s">
        <x:v>21</x:v>
      </x:c>
      <x:c r="F10" s="2" t="s">
        <x:v>17</x:v>
      </x:c>
      <x:c r="G10" s="2" t="s">
        <x:v>45</x:v>
      </x:c>
    </x:row>
    <x:row r="11" ht="23.850000381469727" hidden="0">
      <x:c r="A11" s="2" t="s">
        <x:v>42</x:v>
      </x:c>
      <x:c r="B11" s="2" t="s">
        <x:v>43</x:v>
      </x:c>
      <x:c r="C11" s="2" t="s">
        <x:v>46</x:v>
      </x:c>
      <x:c r="D11" s="7" t="s">
        <x:v>20</x:v>
      </x:c>
      <x:c r="E11" s="8" t="s">
        <x:v>21</x:v>
      </x:c>
      <x:c r="F11" s="2" t="s">
        <x:v>17</x:v>
      </x:c>
      <x:c r="G11" s="2" t="s">
        <x:v>47</x:v>
      </x:c>
    </x:row>
    <x:row r="12" ht="15" hidden="0">
      <x:c r="A12" s="2" t="s">
        <x:v>48</x:v>
      </x:c>
      <x:c r="B12" s="2" t="s">
        <x:v>49</x:v>
      </x:c>
      <x:c r="C12" s="2" t="s">
        <x:v>50</x:v>
      </x:c>
      <x:c r="D12" s="3" t="s">
        <x:v>10</x:v>
      </x:c>
      <x:c r="E12" s="4" t="s">
        <x:v>11</x:v>
      </x:c>
      <x:c r="F12" s="2" t="s">
        <x:v>51</x:v>
      </x:c>
      <x:c r="G12" s="2" t="s">
        <x:v>32</x:v>
      </x:c>
    </x:row>
    <x:row r="13" ht="23.850000381469727" hidden="0">
      <x:c r="A13" s="2" t="s">
        <x:v>48</x:v>
      </x:c>
      <x:c r="B13" s="2" t="s">
        <x:v>49</x:v>
      </x:c>
      <x:c r="C13" s="2" t="s">
        <x:v>52</x:v>
      </x:c>
      <x:c r="D13" s="7" t="s">
        <x:v>20</x:v>
      </x:c>
      <x:c r="E13" s="8" t="s">
        <x:v>21</x:v>
      </x:c>
      <x:c r="F13" s="2" t="s">
        <x:v>17</x:v>
      </x:c>
      <x:c r="G13" s="2" t="s">
        <x:v>53</x:v>
      </x:c>
    </x:row>
    <x:row r="14" ht="15" hidden="0">
      <x:c r="A14" s="2" t="s">
        <x:v>54</x:v>
      </x:c>
      <x:c r="B14" s="2" t="s">
        <x:v>55</x:v>
      </x:c>
      <x:c r="C14" s="2" t="s">
        <x:v>56</x:v>
      </x:c>
      <x:c r="D14" s="3" t="s">
        <x:v>10</x:v>
      </x:c>
      <x:c r="E14" s="4" t="s">
        <x:v>11</x:v>
      </x:c>
      <x:c r="F14" s="2" t="s">
        <x:v>57</x:v>
      </x:c>
      <x:c r="G14" s="2" t="s">
        <x:v>32</x:v>
      </x:c>
    </x:row>
    <x:row r="15" ht="15" hidden="0">
      <x:c r="A15" s="2" t="s">
        <x:v>54</x:v>
      </x:c>
      <x:c r="B15" s="2" t="s">
        <x:v>55</x:v>
      </x:c>
      <x:c r="C15" s="2" t="s">
        <x:v>58</x:v>
      </x:c>
      <x:c r="D15" s="3" t="s">
        <x:v>10</x:v>
      </x:c>
      <x:c r="E15" s="4" t="s">
        <x:v>11</x:v>
      </x:c>
      <x:c r="F15" s="2" t="s">
        <x:v>59</x:v>
      </x:c>
      <x:c r="G15" s="2" t="s">
        <x:v>32</x:v>
      </x:c>
    </x:row>
    <x:row r="16" ht="15" hidden="0">
      <x:c r="A16" s="2" t="s">
        <x:v>54</x:v>
      </x:c>
      <x:c r="B16" s="2" t="s">
        <x:v>55</x:v>
      </x:c>
      <x:c r="C16" s="2" t="s">
        <x:v>60</x:v>
      </x:c>
      <x:c r="D16" s="3" t="s">
        <x:v>10</x:v>
      </x:c>
      <x:c r="E16" s="4" t="s">
        <x:v>11</x:v>
      </x:c>
      <x:c r="F16" s="2" t="s">
        <x:v>61</x:v>
      </x:c>
      <x:c r="G16" s="2" t="s">
        <x:v>32</x:v>
      </x:c>
    </x:row>
    <x:row r="17" ht="23.850000381469727" hidden="0">
      <x:c r="A17" s="2" t="s">
        <x:v>62</x:v>
      </x:c>
      <x:c r="B17" s="2" t="s">
        <x:v>63</x:v>
      </x:c>
      <x:c r="C17" s="2" t="s">
        <x:v>64</x:v>
      </x:c>
      <x:c r="D17" s="3" t="s">
        <x:v>10</x:v>
      </x:c>
      <x:c r="E17" s="4" t="s">
        <x:v>11</x:v>
      </x:c>
      <x:c r="F17" s="2" t="s">
        <x:v>65</x:v>
      </x:c>
      <x:c r="G17" s="2" t="s">
        <x:v>32</x:v>
      </x:c>
    </x:row>
    <x:row r="18" ht="23.850000381469727" hidden="0">
      <x:c r="A18" s="2" t="s">
        <x:v>62</x:v>
      </x:c>
      <x:c r="B18" s="2" t="s">
        <x:v>63</x:v>
      </x:c>
      <x:c r="C18" s="2" t="s">
        <x:v>66</x:v>
      </x:c>
      <x:c r="D18" s="7" t="s">
        <x:v>20</x:v>
      </x:c>
      <x:c r="E18" s="8" t="s">
        <x:v>21</x:v>
      </x:c>
      <x:c r="F18" s="2" t="s">
        <x:v>17</x:v>
      </x:c>
      <x:c r="G18" s="2" t="s">
        <x:v>67</x:v>
      </x:c>
    </x:row>
    <x:row r="19" ht="23.850000381469727" hidden="0">
      <x:c r="A19" s="2" t="s">
        <x:v>68</x:v>
      </x:c>
      <x:c r="B19" s="2" t="s">
        <x:v>69</x:v>
      </x:c>
      <x:c r="C19" s="2" t="s">
        <x:v>70</x:v>
      </x:c>
      <x:c r="D19" s="7" t="s">
        <x:v>20</x:v>
      </x:c>
      <x:c r="E19" s="8" t="s">
        <x:v>21</x:v>
      </x:c>
      <x:c r="F19" s="2" t="s">
        <x:v>17</x:v>
      </x:c>
      <x:c r="G19" s="2" t="s">
        <x:v>71</x:v>
      </x:c>
    </x:row>
    <x:row r="20" ht="15" hidden="0">
      <x:c r="A20" s="2" t="s">
        <x:v>72</x:v>
      </x:c>
      <x:c r="B20" s="2" t="s">
        <x:v>73</x:v>
      </x:c>
      <x:c r="C20" s="2" t="s">
        <x:v>74</x:v>
      </x:c>
      <x:c r="D20" s="3" t="s">
        <x:v>10</x:v>
      </x:c>
      <x:c r="E20" s="4" t="s">
        <x:v>11</x:v>
      </x:c>
      <x:c r="F20" s="2" t="s">
        <x:v>75</x:v>
      </x:c>
      <x:c r="G20" s="2" t="s">
        <x:v>76</x:v>
      </x:c>
    </x:row>
    <x:row r="21" ht="23.850000381469727" hidden="0">
      <x:c r="A21" s="2" t="s">
        <x:v>77</x:v>
      </x:c>
      <x:c r="B21" s="2" t="s">
        <x:v>78</x:v>
      </x:c>
      <x:c r="C21" s="2" t="s">
        <x:v>79</x:v>
      </x:c>
      <x:c r="D21" s="7" t="s">
        <x:v>20</x:v>
      </x:c>
      <x:c r="E21" s="8" t="s">
        <x:v>21</x:v>
      </x:c>
      <x:c r="F21" s="2" t="s">
        <x:v>17</x:v>
      </x:c>
      <x:c r="G21" s="2" t="s">
        <x:v>80</x:v>
      </x:c>
    </x:row>
    <x:row r="22" ht="23.850000381469727" hidden="0">
      <x:c r="A22" s="2" t="s">
        <x:v>81</x:v>
      </x:c>
      <x:c r="B22" s="2" t="s">
        <x:v>39</x:v>
      </x:c>
      <x:c r="C22" s="2" t="s">
        <x:v>82</x:v>
      </x:c>
      <x:c r="D22" s="9" t="s">
        <x:v>83</x:v>
      </x:c>
      <x:c r="E22" s="10" t="s">
        <x:v>84</x:v>
      </x:c>
      <x:c r="F22" s="2" t="s">
        <x:v>17</x:v>
      </x:c>
      <x:c r="G22" s="2" t="s">
        <x:v>85</x:v>
      </x:c>
    </x:row>
    <x:row r="23" ht="15" hidden="0">
      <x:c r="A23" s="2" t="s">
        <x:v>86</x:v>
      </x:c>
      <x:c r="B23" s="2" t="s">
        <x:v>39</x:v>
      </x:c>
      <x:c r="C23" s="2" t="s">
        <x:v>87</x:v>
      </x:c>
      <x:c r="D23" s="3" t="s">
        <x:v>10</x:v>
      </x:c>
      <x:c r="E23" s="4" t="s">
        <x:v>11</x:v>
      </x:c>
      <x:c r="F23" s="2" t="s">
        <x:v>88</x:v>
      </x:c>
      <x:c r="G23" s="2" t="s">
        <x:v>32</x:v>
      </x:c>
    </x:row>
    <x:row r="24" ht="23.850000381469727" hidden="0">
      <x:c r="A24" s="2" t="s">
        <x:v>86</x:v>
      </x:c>
      <x:c r="B24" s="2" t="s">
        <x:v>39</x:v>
      </x:c>
      <x:c r="C24" s="2" t="s">
        <x:v>89</x:v>
      </x:c>
      <x:c r="D24" s="3" t="s">
        <x:v>10</x:v>
      </x:c>
      <x:c r="E24" s="4" t="s">
        <x:v>11</x:v>
      </x:c>
      <x:c r="F24" s="2" t="s">
        <x:v>90</x:v>
      </x:c>
      <x:c r="G24" s="2" t="s">
        <x:v>91</x:v>
      </x:c>
    </x:row>
    <x:row r="25" ht="23.850000381469727" hidden="0">
      <x:c r="A25" s="2" t="s">
        <x:v>86</x:v>
      </x:c>
      <x:c r="B25" s="2" t="s">
        <x:v>39</x:v>
      </x:c>
      <x:c r="C25" s="2" t="s">
        <x:v>92</x:v>
      </x:c>
      <x:c r="D25" s="3" t="s">
        <x:v>10</x:v>
      </x:c>
      <x:c r="E25" s="4" t="s">
        <x:v>11</x:v>
      </x:c>
      <x:c r="F25" s="2" t="s">
        <x:v>93</x:v>
      </x:c>
      <x:c r="G25" s="2" t="str">
        <x:v>ตรวจ DB จริง 22 มิ.ย. 2569: endpoint แจ้งเตือนใช้ reaction/comment ชุดเดียวกับหน้า Safety Culture</x:v>
      </x:c>
    </x:row>
    <x:row r="26" ht="15" hidden="0">
      <x:c r="A26" s="2" t="s">
        <x:v>94</x:v>
      </x:c>
      <x:c r="B26" s="2" t="s">
        <x:v>39</x:v>
      </x:c>
      <x:c r="C26" s="2" t="s">
        <x:v>95</x:v>
      </x:c>
      <x:c r="D26" s="3" t="s">
        <x:v>10</x:v>
      </x:c>
      <x:c r="E26" s="4" t="s">
        <x:v>11</x:v>
      </x:c>
      <x:c r="F26" s="2" t="s">
        <x:v>96</x:v>
      </x:c>
      <x:c r="G26" s="2" t="s">
        <x:v>32</x:v>
      </x:c>
    </x:row>
    <x:row r="27" ht="15" hidden="0">
      <x:c r="A27" s="2" t="s">
        <x:v>94</x:v>
      </x:c>
      <x:c r="B27" s="2" t="s">
        <x:v>39</x:v>
      </x:c>
      <x:c r="C27" s="2" t="s">
        <x:v>97</x:v>
      </x:c>
      <x:c r="D27" s="3" t="s">
        <x:v>10</x:v>
      </x:c>
      <x:c r="E27" s="4" t="s">
        <x:v>11</x:v>
      </x:c>
      <x:c r="F27" s="2" t="s">
        <x:v>98</x:v>
      </x:c>
      <x:c r="G27" s="2" t="s">
        <x:v>32</x:v>
      </x:c>
    </x:row>
    <x:row r="28" ht="15" hidden="0">
      <x:c r="A28" s="2" t="s">
        <x:v>94</x:v>
      </x:c>
      <x:c r="B28" s="2" t="s">
        <x:v>39</x:v>
      </x:c>
      <x:c r="C28" s="2" t="s">
        <x:v>99</x:v>
      </x:c>
      <x:c r="D28" s="3" t="s">
        <x:v>10</x:v>
      </x:c>
      <x:c r="E28" s="4" t="s">
        <x:v>11</x:v>
      </x:c>
      <x:c r="F28" s="2" t="s">
        <x:v>98</x:v>
      </x:c>
      <x:c r="G28" s="2" t="s">
        <x:v>32</x:v>
      </x:c>
    </x:row>
    <x:row r="29" ht="15" hidden="0">
      <x:c r="A29" s="2" t="s">
        <x:v>100</x:v>
      </x:c>
      <x:c r="B29" s="2" t="s">
        <x:v>39</x:v>
      </x:c>
      <x:c r="C29" s="2" t="s">
        <x:v>50</x:v>
      </x:c>
      <x:c r="D29" s="3" t="s">
        <x:v>10</x:v>
      </x:c>
      <x:c r="E29" s="4" t="s">
        <x:v>11</x:v>
      </x:c>
      <x:c r="F29" s="2" t="s">
        <x:v>101</x:v>
      </x:c>
      <x:c r="G29" s="2" t="s">
        <x:v>32</x:v>
      </x:c>
    </x:row>
    <x:row r="30" ht="23.850000381469727" hidden="0">
      <x:c r="A30" s="2" t="s">
        <x:v>100</x:v>
      </x:c>
      <x:c r="B30" s="2" t="s">
        <x:v>39</x:v>
      </x:c>
      <x:c r="C30" s="2" t="s">
        <x:v>102</x:v>
      </x:c>
      <x:c r="D30" s="7" t="s">
        <x:v>20</x:v>
      </x:c>
      <x:c r="E30" s="8" t="s">
        <x:v>21</x:v>
      </x:c>
      <x:c r="F30" s="2" t="s">
        <x:v>17</x:v>
      </x:c>
      <x:c r="G30" s="2" t="s">
        <x:v>103</x:v>
      </x:c>
    </x:row>
    <x:row r="31" ht="15" hidden="0">
      <x:c r="A31" s="2" t="s">
        <x:v>104</x:v>
      </x:c>
      <x:c r="B31" s="2" t="s">
        <x:v>39</x:v>
      </x:c>
      <x:c r="C31" s="2" t="s">
        <x:v>105</x:v>
      </x:c>
      <x:c r="D31" s="3" t="s">
        <x:v>10</x:v>
      </x:c>
      <x:c r="E31" s="4" t="s">
        <x:v>11</x:v>
      </x:c>
      <x:c r="F31" s="2" t="s">
        <x:v>106</x:v>
      </x:c>
      <x:c r="G31" s="2" t="s">
        <x:v>107</x:v>
      </x:c>
    </x:row>
    <x:row r="32" ht="15" hidden="0">
      <x:c r="A32" s="2" t="s">
        <x:v>104</x:v>
      </x:c>
      <x:c r="B32" s="2" t="s">
        <x:v>39</x:v>
      </x:c>
      <x:c r="C32" s="2" t="s">
        <x:v>108</x:v>
      </x:c>
      <x:c r="D32" s="3" t="s">
        <x:v>10</x:v>
      </x:c>
      <x:c r="E32" s="4" t="s">
        <x:v>11</x:v>
      </x:c>
      <x:c r="F32" s="2" t="s">
        <x:v>109</x:v>
      </x:c>
      <x:c r="G32" s="2" t="str">
        <x:v>แก้ 22 มิ.ย. 2569: query ตรง PK (post_id,user_id), บันทึกได้ และส่งรายชื่อผู้กดกลับมาแสดง</x:v>
      </x:c>
    </x:row>
    <x:row r="33" ht="23.850000381469727" hidden="0">
      <x:c r="A33" s="2" t="s">
        <x:v>104</x:v>
      </x:c>
      <x:c r="B33" s="2" t="s">
        <x:v>39</x:v>
      </x:c>
      <x:c r="C33" s="2" t="s">
        <x:v>110</x:v>
      </x:c>
      <x:c r="D33" s="3" t="s">
        <x:v>10</x:v>
      </x:c>
      <x:c r="E33" s="4" t="s">
        <x:v>11</x:v>
      </x:c>
      <x:c r="F33" s="2" t="s">
        <x:v>111</x:v>
      </x:c>
      <x:c r="G33" s="2" t="s">
        <x:v>32</x:v>
      </x:c>
    </x:row>
    <x:row r="34" ht="23.850000381469727" hidden="0">
      <x:c r="A34" s="2" t="s">
        <x:v>104</x:v>
      </x:c>
      <x:c r="B34" s="2" t="s">
        <x:v>39</x:v>
      </x:c>
      <x:c r="C34" s="2" t="s">
        <x:v>112</x:v>
      </x:c>
      <x:c r="D34" s="3" t="s">
        <x:v>10</x:v>
      </x:c>
      <x:c r="E34" s="4" t="s">
        <x:v>11</x:v>
      </x:c>
      <x:c r="F34" s="2" t="s">
        <x:v>113</x:v>
      </x:c>
      <x:c r="G34" s="2" t="s">
        <x:v>32</x:v>
      </x:c>
    </x:row>
    <x:row r="35" ht="15" hidden="0">
      <x:c r="A35" s="2" t="s">
        <x:v>104</x:v>
      </x:c>
      <x:c r="B35" s="2" t="s">
        <x:v>39</x:v>
      </x:c>
      <x:c r="C35" s="2" t="s">
        <x:v>114</x:v>
      </x:c>
      <x:c r="D35" s="3" t="s">
        <x:v>10</x:v>
      </x:c>
      <x:c r="E35" s="4" t="s">
        <x:v>11</x:v>
      </x:c>
      <x:c r="F35" s="2" t="s">
        <x:v>115</x:v>
      </x:c>
      <x:c r="G35" s="2" t="s">
        <x:v>32</x:v>
      </x:c>
    </x:row>
    <x:row r="36" ht="15" hidden="0">
      <x:c r="A36" s="2" t="s">
        <x:v>116</x:v>
      </x:c>
      <x:c r="B36" s="2" t="s">
        <x:v>39</x:v>
      </x:c>
      <x:c r="C36" s="2" t="s">
        <x:v>117</x:v>
      </x:c>
      <x:c r="D36" s="3" t="s">
        <x:v>10</x:v>
      </x:c>
      <x:c r="E36" s="4" t="s">
        <x:v>11</x:v>
      </x:c>
      <x:c r="F36" s="2" t="s">
        <x:v>96</x:v>
      </x:c>
      <x:c r="G36" s="2" t="s">
        <x:v>32</x:v>
      </x:c>
    </x:row>
    <x:row r="37" ht="15" hidden="0">
      <x:c r="A37" s="2" t="s">
        <x:v>116</x:v>
      </x:c>
      <x:c r="B37" s="2" t="s">
        <x:v>39</x:v>
      </x:c>
      <x:c r="C37" s="2" t="s">
        <x:v>118</x:v>
      </x:c>
      <x:c r="D37" s="3" t="s">
        <x:v>10</x:v>
      </x:c>
      <x:c r="E37" s="4" t="s">
        <x:v>11</x:v>
      </x:c>
      <x:c r="F37" s="2" t="s">
        <x:v>119</x:v>
      </x:c>
      <x:c r="G37" s="2" t="s">
        <x:v>120</x:v>
      </x:c>
    </x:row>
    <x:row r="38" ht="15" hidden="0">
      <x:c r="A38" s="2" t="s">
        <x:v>121</x:v>
      </x:c>
      <x:c r="B38" s="2" t="s">
        <x:v>39</x:v>
      </x:c>
      <x:c r="C38" s="2" t="s">
        <x:v>122</x:v>
      </x:c>
      <x:c r="D38" s="3" t="s">
        <x:v>10</x:v>
      </x:c>
      <x:c r="E38" s="4" t="s">
        <x:v>11</x:v>
      </x:c>
      <x:c r="F38" s="2" t="s">
        <x:v>123</x:v>
      </x:c>
      <x:c r="G38" s="2" t="s">
        <x:v>32</x:v>
      </x:c>
    </x:row>
    <x:row r="39" ht="23.850000381469727" hidden="0">
      <x:c r="A39" s="2" t="s">
        <x:v>121</x:v>
      </x:c>
      <x:c r="B39" s="2" t="s">
        <x:v>39</x:v>
      </x:c>
      <x:c r="C39" s="2" t="s">
        <x:v>124</x:v>
      </x:c>
      <x:c r="D39" s="7" t="s">
        <x:v>20</x:v>
      </x:c>
      <x:c r="E39" s="8" t="s">
        <x:v>21</x:v>
      </x:c>
      <x:c r="F39" s="2" t="s">
        <x:v>17</x:v>
      </x:c>
      <x:c r="G39" s="2" t="s">
        <x:v>125</x:v>
      </x:c>
    </x:row>
    <x:row r="40" ht="15" hidden="0">
      <x:c r="A40" s="2" t="s">
        <x:v>126</x:v>
      </x:c>
      <x:c r="B40" s="2" t="s">
        <x:v>39</x:v>
      </x:c>
      <x:c r="C40" s="2" t="s">
        <x:v>127</x:v>
      </x:c>
      <x:c r="D40" s="3" t="s">
        <x:v>10</x:v>
      </x:c>
      <x:c r="E40" s="4" t="s">
        <x:v>11</x:v>
      </x:c>
      <x:c r="F40" s="2" t="s">
        <x:v>128</x:v>
      </x:c>
      <x:c r="G40" s="2" t="s">
        <x:v>32</x:v>
      </x:c>
    </x:row>
    <x:row r="41" ht="15" hidden="0">
      <x:c r="A41" s="2" t="s">
        <x:v>126</x:v>
      </x:c>
      <x:c r="B41" s="2" t="s">
        <x:v>39</x:v>
      </x:c>
      <x:c r="C41" s="2" t="s">
        <x:v>129</x:v>
      </x:c>
      <x:c r="D41" s="3" t="s">
        <x:v>10</x:v>
      </x:c>
      <x:c r="E41" s="4" t="s">
        <x:v>11</x:v>
      </x:c>
      <x:c r="F41" s="2" t="s">
        <x:v>130</x:v>
      </x:c>
      <x:c r="G41" s="2" t="s">
        <x:v>131</x:v>
      </x:c>
    </x:row>
    <x:row r="42" ht="15" hidden="0">
      <x:c r="A42" s="2" t="s">
        <x:v>132</x:v>
      </x:c>
      <x:c r="B42" s="2" t="s">
        <x:v>39</x:v>
      </x:c>
      <x:c r="C42" s="2" t="s">
        <x:v>133</x:v>
      </x:c>
      <x:c r="D42" s="3" t="s">
        <x:v>10</x:v>
      </x:c>
      <x:c r="E42" s="4" t="s">
        <x:v>11</x:v>
      </x:c>
      <x:c r="F42" s="2" t="s">
        <x:v>134</x:v>
      </x:c>
      <x:c r="G42" s="2" t="s">
        <x:v>135</x:v>
      </x:c>
    </x:row>
    <x:row r="43" ht="15" hidden="0">
      <x:c r="A43" s="2" t="s">
        <x:v>132</x:v>
      </x:c>
      <x:c r="B43" s="2" t="s">
        <x:v>39</x:v>
      </x:c>
      <x:c r="C43" s="2" t="s">
        <x:v>136</x:v>
      </x:c>
      <x:c r="D43" s="3" t="s">
        <x:v>10</x:v>
      </x:c>
      <x:c r="E43" s="4" t="s">
        <x:v>11</x:v>
      </x:c>
      <x:c r="F43" s="2" t="s">
        <x:v>137</x:v>
      </x:c>
      <x:c r="G43" s="2" t="s">
        <x:v>138</x:v>
      </x:c>
    </x:row>
    <x:row r="44" ht="15" hidden="0">
      <x:c r="A44" s="2" t="s">
        <x:v>132</x:v>
      </x:c>
      <x:c r="B44" s="2" t="s">
        <x:v>39</x:v>
      </x:c>
      <x:c r="C44" s="2" t="s">
        <x:v>139</x:v>
      </x:c>
      <x:c r="D44" s="3" t="s">
        <x:v>10</x:v>
      </x:c>
      <x:c r="E44" s="4" t="s">
        <x:v>11</x:v>
      </x:c>
      <x:c r="F44" s="2" t="s">
        <x:v>140</x:v>
      </x:c>
      <x:c r="G44" s="2" t="s">
        <x:v>141</x:v>
      </x:c>
    </x:row>
    <x:row r="45" ht="15" hidden="0">
      <x:c r="A45" s="2" t="s">
        <x:v>142</x:v>
      </x:c>
      <x:c r="B45" s="2" t="s">
        <x:v>39</x:v>
      </x:c>
      <x:c r="C45" s="2" t="s">
        <x:v>143</x:v>
      </x:c>
      <x:c r="D45" s="3" t="s">
        <x:v>10</x:v>
      </x:c>
      <x:c r="E45" s="4" t="s">
        <x:v>11</x:v>
      </x:c>
      <x:c r="F45" s="2" t="s">
        <x:v>144</x:v>
      </x:c>
      <x:c r="G45" s="2" t="str">
        <x:v>แก้ 22 มิ.ย. 2569: backend สร้าง code ไม่ซ้ำ, ตรวจคะแนน &gt; 0 และทดสอบ INSERT กับ DB สำเร็จ</x:v>
      </x:c>
    </x:row>
    <x:row r="46" ht="15" hidden="0">
      <x:c r="A46" s="2" t="s">
        <x:v>142</x:v>
      </x:c>
      <x:c r="B46" s="2" t="s">
        <x:v>39</x:v>
      </x:c>
      <x:c r="C46" s="2" t="s">
        <x:v>145</x:v>
      </x:c>
      <x:c r="D46" s="3" t="s">
        <x:v>10</x:v>
      </x:c>
      <x:c r="E46" s="4" t="s">
        <x:v>11</x:v>
      </x:c>
      <x:c r="F46" s="2" t="s">
        <x:v>146</x:v>
      </x:c>
      <x:c r="G46" s="2" t="s">
        <x:v>147</x:v>
      </x:c>
    </x:row>
    <x:row r="47" ht="23.850000381469727" hidden="0">
      <x:c r="A47" s="2" t="s">
        <x:v>148</x:v>
      </x:c>
      <x:c r="B47" s="2" t="s">
        <x:v>39</x:v>
      </x:c>
      <x:c r="C47" s="2" t="s">
        <x:v>149</x:v>
      </x:c>
      <x:c r="D47" s="3" t="s">
        <x:v>10</x:v>
      </x:c>
      <x:c r="E47" s="4" t="s">
        <x:v>11</x:v>
      </x:c>
      <x:c r="F47" s="2" t="s">
        <x:v>150</x:v>
      </x:c>
      <x:c r="G47" s="2" t="s">
        <x:v>151</x:v>
      </x:c>
    </x:row>
    <x:row r="48" ht="23.850000381469727" hidden="0">
      <x:c r="A48" s="2" t="s">
        <x:v>148</x:v>
      </x:c>
      <x:c r="B48" s="2" t="s">
        <x:v>39</x:v>
      </x:c>
      <x:c r="C48" s="2" t="s">
        <x:v>152</x:v>
      </x:c>
      <x:c r="D48" s="3" t="s">
        <x:v>10</x:v>
      </x:c>
      <x:c r="E48" s="4" t="s">
        <x:v>11</x:v>
      </x:c>
      <x:c r="F48" s="2" t="s">
        <x:v>153</x:v>
      </x:c>
      <x:c r="G48" s="2" t="s">
        <x:v>154</x:v>
      </x:c>
    </x:row>
    <x:row r="49" ht="23.850000381469727" hidden="0">
      <x:c r="A49" s="2" t="s">
        <x:v>148</x:v>
      </x:c>
      <x:c r="B49" s="2" t="s">
        <x:v>39</x:v>
      </x:c>
      <x:c r="C49" s="2" t="s">
        <x:v>155</x:v>
      </x:c>
      <x:c r="D49" s="3" t="s">
        <x:v>10</x:v>
      </x:c>
      <x:c r="E49" s="4" t="s">
        <x:v>11</x:v>
      </x:c>
      <x:c r="F49" s="2" t="s">
        <x:v>96</x:v>
      </x:c>
      <x:c r="G49" s="2" t="s">
        <x:v>32</x:v>
      </x:c>
    </x:row>
    <x:row r="50" ht="23.850000381469727" hidden="0">
      <x:c r="A50" s="2" t="s">
        <x:v>156</x:v>
      </x:c>
      <x:c r="B50" s="2" t="s">
        <x:v>39</x:v>
      </x:c>
      <x:c r="C50" s="2" t="s">
        <x:v>157</x:v>
      </x:c>
      <x:c r="D50" s="3" t="s">
        <x:v>10</x:v>
      </x:c>
      <x:c r="E50" s="4" t="s">
        <x:v>11</x:v>
      </x:c>
      <x:c r="F50" s="2" t="s">
        <x:v>158</x:v>
      </x:c>
      <x:c r="G50" s="2" t="s">
        <x:v>32</x:v>
      </x:c>
    </x:row>
    <x:row r="51" ht="23.850000381469727" hidden="0">
      <x:c r="A51" s="2" t="s">
        <x:v>156</x:v>
      </x:c>
      <x:c r="B51" s="2" t="s">
        <x:v>39</x:v>
      </x:c>
      <x:c r="C51" s="2" t="s">
        <x:v>159</x:v>
      </x:c>
      <x:c r="D51" s="3" t="s">
        <x:v>10</x:v>
      </x:c>
      <x:c r="E51" s="4" t="s">
        <x:v>11</x:v>
      </x:c>
      <x:c r="F51" s="2" t="s">
        <x:v>160</x:v>
      </x:c>
      <x:c r="G51" s="2" t="s">
        <x:v>161</x:v>
      </x:c>
    </x:row>
    <x:row r="52" ht="23.850000381469727" hidden="0">
      <x:c r="A52" s="2" t="s">
        <x:v>156</x:v>
      </x:c>
      <x:c r="B52" s="2" t="s">
        <x:v>39</x:v>
      </x:c>
      <x:c r="C52" s="2" t="s">
        <x:v>162</x:v>
      </x:c>
      <x:c r="D52" s="7" t="s">
        <x:v>20</x:v>
      </x:c>
      <x:c r="E52" s="8" t="s">
        <x:v>21</x:v>
      </x:c>
      <x:c r="F52" s="2" t="s">
        <x:v>17</x:v>
      </x:c>
      <x:c r="G52" s="2" t="s">
        <x:v>163</x:v>
      </x:c>
    </x:row>
    <x:row r="53" ht="15" hidden="0">
      <x:c r="A53" s="2" t="s">
        <x:v>164</x:v>
      </x:c>
      <x:c r="B53" s="2" t="s">
        <x:v>39</x:v>
      </x:c>
      <x:c r="C53" s="2" t="s">
        <x:v>165</x:v>
      </x:c>
      <x:c r="D53" s="3" t="s">
        <x:v>10</x:v>
      </x:c>
      <x:c r="E53" s="4" t="s">
        <x:v>11</x:v>
      </x:c>
      <x:c r="F53" s="2" t="s">
        <x:v>166</x:v>
      </x:c>
      <x:c r="G53" s="2" t="s">
        <x:v>32</x:v>
      </x:c>
    </x:row>
    <x:row r="54" ht="15" hidden="0">
      <x:c r="A54" s="2" t="s">
        <x:v>164</x:v>
      </x:c>
      <x:c r="B54" s="2" t="s">
        <x:v>39</x:v>
      </x:c>
      <x:c r="C54" s="2" t="s">
        <x:v>167</x:v>
      </x:c>
      <x:c r="D54" s="3" t="s">
        <x:v>10</x:v>
      </x:c>
      <x:c r="E54" s="4" t="s">
        <x:v>11</x:v>
      </x:c>
      <x:c r="F54" s="2" t="s">
        <x:v>168</x:v>
      </x:c>
      <x:c r="G54" s="2" t="s">
        <x:v>32</x:v>
      </x:c>
    </x:row>
    <x:row r="55" ht="15" hidden="0">
      <x:c r="A55" s="2" t="s">
        <x:v>169</x:v>
      </x:c>
      <x:c r="B55" s="2" t="s">
        <x:v>39</x:v>
      </x:c>
      <x:c r="C55" s="2" t="s">
        <x:v>170</x:v>
      </x:c>
      <x:c r="D55" s="3" t="s">
        <x:v>10</x:v>
      </x:c>
      <x:c r="E55" s="4" t="s">
        <x:v>11</x:v>
      </x:c>
      <x:c r="F55" s="2" t="s">
        <x:v>171</x:v>
      </x:c>
      <x:c r="G55" s="2" t="s">
        <x:v>32</x:v>
      </x:c>
    </x:row>
    <x:row r="56" ht="15" hidden="0">
      <x:c r="A56" s="2" t="s">
        <x:v>169</x:v>
      </x:c>
      <x:c r="B56" s="2" t="s">
        <x:v>39</x:v>
      </x:c>
      <x:c r="C56" s="2" t="s">
        <x:v>172</x:v>
      </x:c>
      <x:c r="D56" s="3" t="s">
        <x:v>10</x:v>
      </x:c>
      <x:c r="E56" s="4" t="s">
        <x:v>11</x:v>
      </x:c>
      <x:c r="F56" s="2" t="s">
        <x:v>173</x:v>
      </x:c>
      <x:c r="G56" s="2" t="s">
        <x:v>174</x:v>
      </x:c>
    </x:row>
    <x:row r="57" ht="23.850000381469727" hidden="0">
      <x:c r="A57" s="2" t="s">
        <x:v>169</x:v>
      </x:c>
      <x:c r="B57" s="2" t="s">
        <x:v>39</x:v>
      </x:c>
      <x:c r="C57" s="2" t="s">
        <x:v>175</x:v>
      </x:c>
      <x:c r="D57" s="7" t="s">
        <x:v>20</x:v>
      </x:c>
      <x:c r="E57" s="8" t="s">
        <x:v>21</x:v>
      </x:c>
      <x:c r="F57" s="2" t="s">
        <x:v>17</x:v>
      </x:c>
      <x:c r="G57" s="2" t="s">
        <x:v>176</x:v>
      </x:c>
    </x:row>
    <x:row r="58" ht="23.850000381469727" hidden="0">
      <x:c r="A58" s="2" t="s">
        <x:v>177</x:v>
      </x:c>
      <x:c r="B58" s="2" t="s">
        <x:v>39</x:v>
      </x:c>
      <x:c r="C58" s="2" t="s">
        <x:v>178</x:v>
      </x:c>
      <x:c r="D58" s="3" t="s">
        <x:v>10</x:v>
      </x:c>
      <x:c r="E58" s="4" t="s">
        <x:v>11</x:v>
      </x:c>
      <x:c r="F58" s="2" t="s">
        <x:v>179</x:v>
      </x:c>
      <x:c r="G58" s="2" t="s">
        <x:v>180</x:v>
      </x:c>
    </x:row>
    <x:row r="59" ht="23.850000381469727" hidden="0">
      <x:c r="A59" s="2" t="s">
        <x:v>177</x:v>
      </x:c>
      <x:c r="B59" s="2" t="s">
        <x:v>39</x:v>
      </x:c>
      <x:c r="C59" s="2" t="s">
        <x:v>181</x:v>
      </x:c>
      <x:c r="D59" s="7" t="s">
        <x:v>20</x:v>
      </x:c>
      <x:c r="E59" s="8" t="s">
        <x:v>21</x:v>
      </x:c>
      <x:c r="F59" s="2" t="s">
        <x:v>17</x:v>
      </x:c>
      <x:c r="G59" s="2" t="s">
        <x:v>182</x:v>
      </x:c>
    </x:row>
    <x:row r="60" ht="15" hidden="0">
      <x:c r="A60" s="2" t="s">
        <x:v>183</x:v>
      </x:c>
      <x:c r="B60" s="2" t="s">
        <x:v>39</x:v>
      </x:c>
      <x:c r="C60" s="2" t="s">
        <x:v>184</x:v>
      </x:c>
      <x:c r="D60" s="3" t="s">
        <x:v>10</x:v>
      </x:c>
      <x:c r="E60" s="4" t="s">
        <x:v>11</x:v>
      </x:c>
      <x:c r="F60" s="2" t="s">
        <x:v>185</x:v>
      </x:c>
      <x:c r="G60" s="2" t="s">
        <x:v>186</x:v>
      </x:c>
    </x:row>
    <x:row r="61" ht="15" hidden="0">
      <x:c r="A61" s="2" t="s">
        <x:v>187</x:v>
      </x:c>
      <x:c r="B61" s="2" t="s">
        <x:v>39</x:v>
      </x:c>
      <x:c r="C61" s="2" t="s">
        <x:v>188</x:v>
      </x:c>
      <x:c r="D61" s="3" t="s">
        <x:v>10</x:v>
      </x:c>
      <x:c r="E61" s="4" t="s">
        <x:v>11</x:v>
      </x:c>
      <x:c r="F61" s="2" t="s">
        <x:v>189</x:v>
      </x:c>
      <x:c r="G61" s="2" t="s">
        <x:v>190</x:v>
      </x:c>
    </x:row>
    <x:row r="62" ht="15" hidden="0">
      <x:c r="A62" s="2" t="s">
        <x:v>191</x:v>
      </x:c>
      <x:c r="B62" s="2" t="s">
        <x:v>39</x:v>
      </x:c>
      <x:c r="C62" s="2" t="s">
        <x:v>192</x:v>
      </x:c>
      <x:c r="D62" s="3" t="s">
        <x:v>10</x:v>
      </x:c>
      <x:c r="E62" s="4" t="s">
        <x:v>11</x:v>
      </x:c>
      <x:c r="F62" s="2" t="s">
        <x:v>193</x:v>
      </x:c>
      <x:c r="G62" s="2" t="s">
        <x:v>32</x:v>
      </x:c>
    </x:row>
    <x:row r="63" ht="15" hidden="0">
      <x:c r="A63" s="2" t="s">
        <x:v>191</x:v>
      </x:c>
      <x:c r="B63" s="2" t="s">
        <x:v>39</x:v>
      </x:c>
      <x:c r="C63" s="2" t="s">
        <x:v>194</x:v>
      </x:c>
      <x:c r="D63" s="3" t="s">
        <x:v>10</x:v>
      </x:c>
      <x:c r="E63" s="4" t="s">
        <x:v>11</x:v>
      </x:c>
      <x:c r="F63" s="2" t="s">
        <x:v>195</x:v>
      </x:c>
      <x:c r="G63" s="2" t="s">
        <x:v>32</x:v>
      </x:c>
    </x:row>
    <x:row r="64" ht="15" hidden="0">
      <x:c r="A64" s="2" t="s">
        <x:v>196</x:v>
      </x:c>
      <x:c r="B64" s="2" t="s">
        <x:v>197</x:v>
      </x:c>
      <x:c r="C64" s="2" t="s">
        <x:v>198</x:v>
      </x:c>
      <x:c r="D64" s="3" t="s">
        <x:v>10</x:v>
      </x:c>
      <x:c r="E64" s="4" t="s">
        <x:v>11</x:v>
      </x:c>
      <x:c r="F64" s="2" t="s">
        <x:v>199</x:v>
      </x:c>
      <x:c r="G64" s="2" t="s">
        <x:v>32</x:v>
      </x:c>
    </x:row>
    <x:row r="65" ht="23.850000381469727" hidden="0">
      <x:c r="A65" s="2" t="s">
        <x:v>196</x:v>
      </x:c>
      <x:c r="B65" s="2" t="s">
        <x:v>197</x:v>
      </x:c>
      <x:c r="C65" s="2" t="s">
        <x:v>200</x:v>
      </x:c>
      <x:c r="D65" s="3" t="s">
        <x:v>10</x:v>
      </x:c>
      <x:c r="E65" s="4" t="s">
        <x:v>11</x:v>
      </x:c>
      <x:c r="F65" s="2" t="s">
        <x:v>201</x:v>
      </x:c>
      <x:c r="G65" s="2" t="s">
        <x:v>202</x:v>
      </x:c>
    </x:row>
    <x:row r="66" ht="23.850000381469727" hidden="0">
      <x:c r="A66" s="2" t="s">
        <x:v>196</x:v>
      </x:c>
      <x:c r="B66" s="2" t="s">
        <x:v>197</x:v>
      </x:c>
      <x:c r="C66" s="2" t="s">
        <x:v>203</x:v>
      </x:c>
      <x:c r="D66" s="7" t="s">
        <x:v>20</x:v>
      </x:c>
      <x:c r="E66" s="8" t="s">
        <x:v>21</x:v>
      </x:c>
      <x:c r="F66" s="2" t="s">
        <x:v>17</x:v>
      </x:c>
      <x:c r="G66" s="2" t="s">
        <x:v>204</x:v>
      </x:c>
    </x:row>
    <x:row r="67" ht="15" hidden="0">
      <x:c r="A67" s="2" t="s">
        <x:v>205</x:v>
      </x:c>
      <x:c r="B67" s="2" t="s">
        <x:v>206</x:v>
      </x:c>
      <x:c r="C67" s="2" t="s">
        <x:v>207</x:v>
      </x:c>
      <x:c r="D67" s="3" t="s">
        <x:v>10</x:v>
      </x:c>
      <x:c r="E67" s="4" t="s">
        <x:v>11</x:v>
      </x:c>
      <x:c r="F67" s="2" t="s">
        <x:v>208</x:v>
      </x:c>
      <x:c r="G67" s="2" t="s">
        <x:v>32</x:v>
      </x:c>
    </x:row>
    <x:row r="68" ht="15" hidden="0">
      <x:c r="A68" s="2" t="s">
        <x:v>205</x:v>
      </x:c>
      <x:c r="B68" s="2" t="s">
        <x:v>206</x:v>
      </x:c>
      <x:c r="C68" s="2" t="s">
        <x:v>209</x:v>
      </x:c>
      <x:c r="D68" s="3" t="s">
        <x:v>10</x:v>
      </x:c>
      <x:c r="E68" s="4" t="s">
        <x:v>11</x:v>
      </x:c>
      <x:c r="F68" s="2" t="s">
        <x:v>210</x:v>
      </x:c>
      <x:c r="G68" s="2" t="s">
        <x:v>32</x:v>
      </x:c>
    </x:row>
    <x:row r="69" ht="15" hidden="0">
      <x:c r="A69" s="2" t="s">
        <x:v>205</x:v>
      </x:c>
      <x:c r="B69" s="2" t="s">
        <x:v>206</x:v>
      </x:c>
      <x:c r="C69" s="2" t="s">
        <x:v>211</x:v>
      </x:c>
      <x:c r="D69" s="3" t="s">
        <x:v>10</x:v>
      </x:c>
      <x:c r="E69" s="4" t="s">
        <x:v>11</x:v>
      </x:c>
      <x:c r="F69" s="2" t="s">
        <x:v>212</x:v>
      </x:c>
      <x:c r="G69" s="2" t="s">
        <x:v>32</x:v>
      </x:c>
    </x:row>
    <x:row r="70" ht="15" hidden="0">
      <x:c r="A70" s="2" t="s">
        <x:v>205</x:v>
      </x:c>
      <x:c r="B70" s="2" t="s">
        <x:v>206</x:v>
      </x:c>
      <x:c r="C70" s="2" t="s">
        <x:v>213</x:v>
      </x:c>
      <x:c r="D70" s="3" t="s">
        <x:v>10</x:v>
      </x:c>
      <x:c r="E70" s="4" t="s">
        <x:v>11</x:v>
      </x:c>
      <x:c r="F70" s="2" t="s">
        <x:v>214</x:v>
      </x:c>
      <x:c r="G70" s="2" t="s">
        <x:v>215</x:v>
      </x:c>
    </x:row>
    <x:row r="71" ht="15" hidden="0">
      <x:c r="A71" s="2" t="s">
        <x:v>216</x:v>
      </x:c>
      <x:c r="B71" s="2" t="s">
        <x:v>217</x:v>
      </x:c>
      <x:c r="C71" s="2" t="s">
        <x:v>218</x:v>
      </x:c>
      <x:c r="D71" s="3" t="s">
        <x:v>10</x:v>
      </x:c>
      <x:c r="E71" s="4" t="s">
        <x:v>11</x:v>
      </x:c>
      <x:c r="F71" s="2" t="s">
        <x:v>219</x:v>
      </x:c>
      <x:c r="G71" s="2" t="s">
        <x:v>32</x:v>
      </x:c>
    </x:row>
    <x:row r="72" ht="15" hidden="0">
      <x:c r="A72" s="2" t="s">
        <x:v>216</x:v>
      </x:c>
      <x:c r="B72" s="2" t="s">
        <x:v>217</x:v>
      </x:c>
      <x:c r="C72" s="2" t="s">
        <x:v>220</x:v>
      </x:c>
      <x:c r="D72" s="3" t="s">
        <x:v>10</x:v>
      </x:c>
      <x:c r="E72" s="4" t="s">
        <x:v>11</x:v>
      </x:c>
      <x:c r="F72" s="2" t="s">
        <x:v>221</x:v>
      </x:c>
      <x:c r="G72" s="2" t="s">
        <x:v>32</x:v>
      </x:c>
    </x:row>
    <x:row r="73" ht="15" hidden="0">
      <x:c r="A73" s="2" t="s">
        <x:v>216</x:v>
      </x:c>
      <x:c r="B73" s="2" t="s">
        <x:v>217</x:v>
      </x:c>
      <x:c r="C73" s="2" t="s">
        <x:v>211</x:v>
      </x:c>
      <x:c r="D73" s="3" t="s">
        <x:v>10</x:v>
      </x:c>
      <x:c r="E73" s="4" t="s">
        <x:v>11</x:v>
      </x:c>
      <x:c r="F73" s="2" t="s">
        <x:v>222</x:v>
      </x:c>
      <x:c r="G73" s="2" t="s">
        <x:v>32</x:v>
      </x:c>
    </x:row>
    <x:row r="74" ht="23.850000381469727" hidden="0">
      <x:c r="A74" s="2" t="s">
        <x:v>216</x:v>
      </x:c>
      <x:c r="B74" s="2" t="s">
        <x:v>217</x:v>
      </x:c>
      <x:c r="C74" s="2" t="s">
        <x:v>223</x:v>
      </x:c>
      <x:c r="D74" s="7" t="s">
        <x:v>20</x:v>
      </x:c>
      <x:c r="E74" s="8" t="s">
        <x:v>21</x:v>
      </x:c>
      <x:c r="F74" s="2" t="s">
        <x:v>17</x:v>
      </x:c>
      <x:c r="G74" s="2" t="s">
        <x:v>224</x:v>
      </x:c>
    </x:row>
    <x:row r="75" ht="15" hidden="0">
      <x:c r="A75" s="2" t="s">
        <x:v>225</x:v>
      </x:c>
      <x:c r="B75" s="2" t="s">
        <x:v>226</x:v>
      </x:c>
      <x:c r="C75" s="2" t="s">
        <x:v>227</x:v>
      </x:c>
      <x:c r="D75" s="3" t="s">
        <x:v>10</x:v>
      </x:c>
      <x:c r="E75" s="4" t="s">
        <x:v>11</x:v>
      </x:c>
      <x:c r="F75" s="2" t="s">
        <x:v>219</x:v>
      </x:c>
      <x:c r="G75" s="2" t="s">
        <x:v>32</x:v>
      </x:c>
    </x:row>
    <x:row r="76" ht="15" hidden="0">
      <x:c r="A76" s="2" t="s">
        <x:v>225</x:v>
      </x:c>
      <x:c r="B76" s="2" t="s">
        <x:v>226</x:v>
      </x:c>
      <x:c r="C76" s="2" t="s">
        <x:v>228</x:v>
      </x:c>
      <x:c r="D76" s="3" t="s">
        <x:v>10</x:v>
      </x:c>
      <x:c r="E76" s="4" t="s">
        <x:v>11</x:v>
      </x:c>
      <x:c r="F76" s="2" t="s">
        <x:v>222</x:v>
      </x:c>
      <x:c r="G76" s="2" t="s">
        <x:v>32</x:v>
      </x:c>
    </x:row>
    <x:row r="77" ht="15" hidden="0">
      <x:c r="A77" s="2" t="s">
        <x:v>229</x:v>
      </x:c>
      <x:c r="B77" s="2" t="s">
        <x:v>230</x:v>
      </x:c>
      <x:c r="C77" s="2" t="s">
        <x:v>231</x:v>
      </x:c>
      <x:c r="D77" s="3" t="s">
        <x:v>10</x:v>
      </x:c>
      <x:c r="E77" s="4" t="s">
        <x:v>11</x:v>
      </x:c>
      <x:c r="F77" s="2" t="s">
        <x:v>232</x:v>
      </x:c>
      <x:c r="G77" s="2" t="s">
        <x:v>233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0" hidden="0" customWidth="1"/>
    <x:col min="2" max="2" width="30" hidden="0" customWidth="1"/>
    <x:col min="3" max="3" width="10" hidden="0" customWidth="1"/>
  </x:cols>
  <x:sheetData>
    <x:row r="1" ht="17.149999618530273" hidden="0">
      <x:c r="A1" s="11" t="s">
        <x:v>234</x:v>
      </x:c>
    </x:row>
    <x:row r="3" ht="15" hidden="0">
      <x:c r="A3" s="12" t="s">
        <x:v>3</x:v>
      </x:c>
      <x:c r="B3" s="12" t="s">
        <x:v>235</x:v>
      </x:c>
      <x:c r="C3" s="12" t="s">
        <x:v>236</x:v>
      </x:c>
    </x:row>
    <x:row r="4" ht="15" hidden="0">
      <x:c r="A4" s="13" t="s">
        <x:v>10</x:v>
      </x:c>
      <x:c r="B4" s="14" t="s">
        <x:v>11</x:v>
      </x:c>
      <x:c r="C4" s="15" t="n">
        <x:f aca="0">COUNTIF(Checklist!D2:D77,"CONNECTED")</x:f>
        <x:v>58</x:v>
      </x:c>
    </x:row>
    <x:row r="5" ht="15" hidden="0">
      <x:c r="A5" s="16" t="s">
        <x:v>20</x:v>
      </x:c>
      <x:c r="B5" s="14" t="s">
        <x:v>21</x:v>
      </x:c>
      <x:c r="C5" s="15" t="n">
        <x:f aca="0">COUNTIF(Checklist!D2:D77,"LOCAL-ONLY")</x:f>
        <x:v>15</x:v>
      </x:c>
    </x:row>
    <x:row r="6" ht="15" hidden="0">
      <x:c r="A6" s="17" t="s">
        <x:v>15</x:v>
      </x:c>
      <x:c r="B6" s="14" t="s">
        <x:v>16</x:v>
      </x:c>
      <x:c r="C6" s="15" t="n">
        <x:f aca="0">COUNTIF(Checklist!D2:D77,"MOCK")</x:f>
        <x:v>2</x:v>
      </x:c>
    </x:row>
    <x:row r="7" ht="15" hidden="0">
      <x:c r="A7" s="18" t="s">
        <x:v>83</x:v>
      </x:c>
      <x:c r="B7" s="14" t="s">
        <x:v>84</x:v>
      </x:c>
      <x:c r="C7" s="15" t="n">
        <x:f aca="0">COUNTIF(Checklist!D2:D77,"TODO-NOOP")</x:f>
        <x:v>1</x:v>
      </x:c>
    </x:row>
    <x:row r="8" ht="15" hidden="0">
      <x:c r="A8" s="19" t="s">
        <x:v>237</x:v>
      </x:c>
      <x:c r="B8" s="14" t="s">
        <x:v>238</x:v>
      </x:c>
      <x:c r="C8" s="15" t="n">
        <x:f aca="0">COUNTIF(Checklist!D2:D77,"BROKEN")</x:f>
        <x:v>0</x:v>
      </x:c>
    </x:row>
    <x:row r="9" ht="15" hidden="0">
      <x:c r="A9" s="20" t="s">
        <x:v>239</x:v>
      </x:c>
      <x:c r="C9" s="21" t="n">
        <x:f aca="0">SUM(C4:C8)</x:f>
        <x:v>76</x:v>
      </x:c>
    </x:row>
    <x:row r="11" ht="15" hidden="0">
      <x:c r="A11" s="22" t="s">
        <x:v>240</x:v>
      </x:c>
    </x:row>
    <x:row r="12" ht="23.850000381469727" hidden="0" customHeight="1">
      <x:c r="A12" s="23" t="s">
        <x:v>241</x:v>
      </x:c>
      <x:c r="B12" s="23"/>
      <x:c r="C12" s="23"/>
    </x:row>
    <x:row r="13" ht="23.850000381469727" hidden="0" customHeight="1">
      <x:c r="A13" s="23" t="s">
        <x:v>242</x:v>
      </x:c>
      <x:c r="B13" s="23"/>
      <x:c r="C13" s="23"/>
    </x:row>
    <x:row r="14" ht="23.850000381469727" hidden="0" customHeight="1">
      <x:c r="A14" s="23" t="s">
        <x:v>243</x:v>
      </x:c>
      <x:c r="B14" s="23"/>
      <x:c r="C14" s="23"/>
    </x:row>
    <x:row r="15" ht="15" hidden="0" customHeight="1">
      <x:c r="A15" s="23" t="s">
        <x:v>244</x:v>
      </x:c>
      <x:c r="B15" s="23"/>
      <x:c r="C15" s="23"/>
    </x:row>
    <x:row r="16" ht="46.25" hidden="0" customHeight="1">
      <x:c r="A16" s="23" t="s">
        <x:v>245</x:v>
      </x:c>
      <x:c r="B16" s="23"/>
      <x:c r="C16" s="23"/>
    </x:row>
    <x:row r="17" ht="48" hidden="0" customHeight="1">
      <x:c r="A17" s="24" t="str">
        <x:v>หมายเหตุ: CONNECTED ของหัวใจและ Create Reward ตรวจ schema/query กับฐาน production จริงแล้วเมื่อ 22 มิ.ย. 2569; LOCAL-ONLY ที่เป็น navigation, filter หรือขั้นตอนกลางของ wizard ไม่ใช่ข้อมูลสูญหาย เพราะบันทึกจริงที่ Assessment Summary</x:v>
      </x:c>
      <x:c r="B17" s="24"/>
      <x:c r="C17" s="24"/>
    </x:row>
  </x:sheetData>
  <x:mergeCells>
    <x:mergeCell ref="A12:C12"/>
    <x:mergeCell ref="A13:C13"/>
    <x:mergeCell ref="A14:C14"/>
    <x:mergeCell ref="A15:C15"/>
    <x:mergeCell ref="A16:C16"/>
    <x:mergeCell ref="A17:C17"/>
  </x:mergeCells>
  <x:pageMargins left="0.7" right="0.7" top="0.75" bottom="0.75" header="0.3" footer="0.3"/>
</x:worksheet>
</file>